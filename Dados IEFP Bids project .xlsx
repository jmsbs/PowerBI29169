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dch-my.sharepoint.com/personal/bruno_costa_imd_org1/Documents/Dokumente/Dados IEFP/"/>
    </mc:Choice>
  </mc:AlternateContent>
  <xr:revisionPtr revIDLastSave="10" documentId="8_{10794FAF-1653-440F-952F-BB9AFAD2C71F}" xr6:coauthVersionLast="47" xr6:coauthVersionMax="47" xr10:uidLastSave="{AA6ACE3B-52C7-4D99-8C81-B4926094F9EA}"/>
  <bookViews>
    <workbookView xWindow="384" yWindow="384" windowWidth="21720" windowHeight="9900" tabRatio="955" activeTab="4" xr2:uid="{C8C9CE4B-2B6D-48E7-A458-24FD6F73303A}"/>
  </bookViews>
  <sheets>
    <sheet name="Desermp.  Genero e Habilitacoes" sheetId="5" r:id="rId1"/>
    <sheet name="Desemprego por Regiao" sheetId="1" r:id="rId2"/>
    <sheet name="Desemprego por AE" sheetId="4" r:id="rId3"/>
    <sheet name="Oferta de Emprego por Regiao" sheetId="2" r:id="rId4"/>
    <sheet name="Oferta de Emprego por AE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09" i="3" l="1"/>
  <c r="D109" i="3"/>
  <c r="B109" i="3" s="1"/>
  <c r="T108" i="3"/>
  <c r="D108" i="3"/>
  <c r="B108" i="3"/>
  <c r="T107" i="3"/>
  <c r="D107" i="3"/>
  <c r="B107" i="3"/>
  <c r="T106" i="3"/>
  <c r="D106" i="3"/>
  <c r="B106" i="3"/>
  <c r="T105" i="3"/>
  <c r="D105" i="3"/>
  <c r="B105" i="3" s="1"/>
  <c r="T104" i="3"/>
  <c r="D104" i="3"/>
  <c r="B104" i="3" s="1"/>
  <c r="T103" i="3"/>
  <c r="D103" i="3"/>
  <c r="B103" i="3"/>
  <c r="T102" i="3"/>
  <c r="D102" i="3"/>
  <c r="B102" i="3"/>
  <c r="T101" i="3"/>
  <c r="D101" i="3"/>
  <c r="B101" i="3" s="1"/>
  <c r="T100" i="3"/>
  <c r="D100" i="3"/>
  <c r="B100" i="3"/>
  <c r="T99" i="3"/>
  <c r="D99" i="3"/>
  <c r="B99" i="3"/>
  <c r="T98" i="3"/>
  <c r="D98" i="3"/>
  <c r="B98" i="3"/>
  <c r="T97" i="3"/>
  <c r="D97" i="3"/>
  <c r="B97" i="3" s="1"/>
  <c r="T96" i="3"/>
  <c r="D96" i="3"/>
  <c r="B96" i="3"/>
  <c r="T95" i="3"/>
  <c r="D95" i="3"/>
  <c r="B95" i="3" s="1"/>
  <c r="T94" i="3"/>
  <c r="D94" i="3"/>
  <c r="B94" i="3"/>
  <c r="T93" i="3"/>
  <c r="D93" i="3"/>
  <c r="B93" i="3"/>
  <c r="T92" i="3"/>
  <c r="D92" i="3"/>
  <c r="B92" i="3" s="1"/>
  <c r="T91" i="3"/>
  <c r="D91" i="3"/>
  <c r="B91" i="3" s="1"/>
  <c r="T90" i="3"/>
  <c r="D90" i="3"/>
  <c r="B90" i="3"/>
  <c r="T89" i="3"/>
  <c r="D89" i="3"/>
  <c r="B89" i="3"/>
  <c r="T88" i="3"/>
  <c r="D88" i="3"/>
  <c r="B88" i="3"/>
  <c r="T87" i="3"/>
  <c r="D87" i="3"/>
  <c r="B87" i="3" s="1"/>
  <c r="T86" i="3"/>
  <c r="D86" i="3"/>
  <c r="B86" i="3"/>
  <c r="T85" i="3"/>
  <c r="D85" i="3"/>
  <c r="B85" i="3" s="1"/>
  <c r="T84" i="3"/>
  <c r="D84" i="3"/>
  <c r="B84" i="3"/>
  <c r="T83" i="3"/>
  <c r="D83" i="3"/>
  <c r="B83" i="3"/>
  <c r="T82" i="3"/>
  <c r="B82" i="3" s="1"/>
  <c r="D82" i="3"/>
  <c r="T81" i="3"/>
  <c r="D81" i="3"/>
  <c r="B81" i="3"/>
  <c r="T80" i="3"/>
  <c r="D80" i="3"/>
  <c r="B80" i="3"/>
  <c r="T79" i="3"/>
  <c r="D79" i="3"/>
  <c r="B79" i="3"/>
  <c r="T78" i="3"/>
  <c r="D78" i="3"/>
  <c r="B78" i="3"/>
  <c r="T77" i="3"/>
  <c r="D77" i="3"/>
  <c r="B77" i="3" s="1"/>
  <c r="T76" i="3"/>
  <c r="D76" i="3"/>
  <c r="B76" i="3"/>
  <c r="T75" i="3"/>
  <c r="D75" i="3"/>
  <c r="B75" i="3"/>
  <c r="T74" i="3"/>
  <c r="D74" i="3"/>
  <c r="B74" i="3" s="1"/>
  <c r="T73" i="3"/>
  <c r="D73" i="3"/>
  <c r="B73" i="3" s="1"/>
  <c r="T72" i="3"/>
  <c r="D72" i="3"/>
  <c r="B72" i="3"/>
  <c r="T71" i="3"/>
  <c r="D71" i="3"/>
  <c r="B71" i="3" s="1"/>
  <c r="T70" i="3"/>
  <c r="D70" i="3"/>
  <c r="B70" i="3"/>
  <c r="T69" i="3"/>
  <c r="D69" i="3"/>
  <c r="B69" i="3" s="1"/>
  <c r="T68" i="3"/>
  <c r="D68" i="3"/>
  <c r="B68" i="3" s="1"/>
  <c r="T67" i="3"/>
  <c r="D67" i="3"/>
  <c r="B67" i="3" s="1"/>
  <c r="T66" i="3"/>
  <c r="B66" i="3" s="1"/>
  <c r="D66" i="3"/>
  <c r="T65" i="3"/>
  <c r="D65" i="3"/>
  <c r="B65" i="3"/>
  <c r="T64" i="3"/>
  <c r="D64" i="3"/>
  <c r="B64" i="3"/>
  <c r="T63" i="3"/>
  <c r="D63" i="3"/>
  <c r="B63" i="3" s="1"/>
  <c r="T62" i="3"/>
  <c r="D62" i="3"/>
  <c r="B62" i="3"/>
  <c r="T61" i="3"/>
  <c r="D61" i="3"/>
  <c r="B61" i="3" s="1"/>
  <c r="T60" i="3"/>
  <c r="B60" i="3" s="1"/>
  <c r="D60" i="3"/>
  <c r="T59" i="3"/>
  <c r="D59" i="3"/>
  <c r="B59" i="3" s="1"/>
  <c r="T58" i="3"/>
  <c r="D58" i="3"/>
  <c r="B58" i="3"/>
  <c r="T57" i="3"/>
  <c r="D57" i="3"/>
  <c r="B57" i="3"/>
  <c r="T56" i="3"/>
  <c r="D56" i="3"/>
  <c r="B56" i="3" s="1"/>
  <c r="T55" i="3"/>
  <c r="D55" i="3"/>
  <c r="B55" i="3" s="1"/>
  <c r="T54" i="3"/>
  <c r="D54" i="3"/>
  <c r="B54" i="3"/>
  <c r="T53" i="3"/>
  <c r="D53" i="3"/>
  <c r="B53" i="3"/>
  <c r="T52" i="3"/>
  <c r="B52" i="3" s="1"/>
  <c r="D52" i="3"/>
  <c r="T51" i="3"/>
  <c r="D51" i="3"/>
  <c r="B51" i="3" s="1"/>
  <c r="T50" i="3"/>
  <c r="D50" i="3"/>
  <c r="B50" i="3"/>
  <c r="T49" i="3"/>
  <c r="D49" i="3"/>
  <c r="B49" i="3" s="1"/>
  <c r="T48" i="3"/>
  <c r="D48" i="3"/>
  <c r="B48" i="3"/>
  <c r="T47" i="3"/>
  <c r="D47" i="3"/>
  <c r="B47" i="3" s="1"/>
  <c r="T46" i="3"/>
  <c r="D46" i="3"/>
  <c r="B46" i="3" s="1"/>
  <c r="T45" i="3"/>
  <c r="D45" i="3"/>
  <c r="B45" i="3"/>
  <c r="T44" i="3"/>
  <c r="D44" i="3"/>
  <c r="B44" i="3" s="1"/>
  <c r="T43" i="3"/>
  <c r="D43" i="3"/>
  <c r="B43" i="3" s="1"/>
  <c r="T42" i="3"/>
  <c r="D42" i="3"/>
  <c r="B42" i="3"/>
  <c r="T41" i="3"/>
  <c r="D41" i="3"/>
  <c r="B41" i="3" s="1"/>
  <c r="T40" i="3"/>
  <c r="D40" i="3"/>
  <c r="B40" i="3"/>
  <c r="T39" i="3"/>
  <c r="D39" i="3"/>
  <c r="B39" i="3" s="1"/>
  <c r="T38" i="3"/>
  <c r="D38" i="3"/>
  <c r="B38" i="3" s="1"/>
  <c r="T37" i="3"/>
  <c r="D37" i="3"/>
  <c r="B37" i="3"/>
  <c r="T36" i="3"/>
  <c r="D36" i="3"/>
  <c r="B36" i="3"/>
  <c r="T35" i="3"/>
  <c r="D35" i="3"/>
  <c r="B35" i="3" s="1"/>
  <c r="T34" i="3"/>
  <c r="D34" i="3"/>
  <c r="B34" i="3" s="1"/>
  <c r="T33" i="3"/>
  <c r="D33" i="3"/>
  <c r="B33" i="3" s="1"/>
  <c r="T32" i="3"/>
  <c r="D32" i="3"/>
  <c r="B32" i="3" s="1"/>
  <c r="T31" i="3"/>
  <c r="D31" i="3"/>
  <c r="B31" i="3" s="1"/>
  <c r="T30" i="3"/>
  <c r="D30" i="3"/>
  <c r="B30" i="3"/>
  <c r="T29" i="3"/>
  <c r="D29" i="3"/>
  <c r="B29" i="3"/>
  <c r="T28" i="3"/>
  <c r="D28" i="3"/>
  <c r="B28" i="3"/>
  <c r="T27" i="3"/>
  <c r="D27" i="3"/>
  <c r="B27" i="3" s="1"/>
  <c r="T26" i="3"/>
  <c r="D26" i="3"/>
  <c r="B26" i="3" s="1"/>
  <c r="T25" i="3"/>
  <c r="D25" i="3"/>
  <c r="B25" i="3" s="1"/>
  <c r="T24" i="3"/>
  <c r="D24" i="3"/>
  <c r="B24" i="3" s="1"/>
  <c r="T23" i="3"/>
  <c r="D23" i="3"/>
  <c r="B23" i="3" s="1"/>
  <c r="T22" i="3"/>
  <c r="D22" i="3"/>
  <c r="B22" i="3" s="1"/>
  <c r="T21" i="3"/>
  <c r="D21" i="3"/>
  <c r="B21" i="3" s="1"/>
  <c r="T20" i="3"/>
  <c r="D20" i="3"/>
  <c r="B20" i="3"/>
  <c r="T19" i="3"/>
  <c r="D19" i="3"/>
  <c r="B19" i="3"/>
  <c r="T18" i="3"/>
  <c r="D18" i="3"/>
  <c r="B18" i="3"/>
  <c r="T17" i="3"/>
  <c r="D17" i="3"/>
  <c r="B17" i="3" s="1"/>
  <c r="T16" i="3"/>
  <c r="D16" i="3"/>
  <c r="B16" i="3" s="1"/>
  <c r="T15" i="3"/>
  <c r="D15" i="3"/>
  <c r="B15" i="3" s="1"/>
  <c r="T14" i="3"/>
  <c r="D14" i="3"/>
  <c r="B14" i="3" s="1"/>
  <c r="T13" i="3"/>
  <c r="D13" i="3"/>
  <c r="T12" i="3"/>
  <c r="D12" i="3"/>
  <c r="B12" i="3" s="1"/>
  <c r="T11" i="3"/>
  <c r="D11" i="3"/>
  <c r="T10" i="3"/>
  <c r="D10" i="3"/>
  <c r="T9" i="3"/>
  <c r="D9" i="3"/>
  <c r="T8" i="3"/>
  <c r="D8" i="3"/>
  <c r="B8" i="3" s="1"/>
  <c r="T7" i="3"/>
  <c r="B7" i="3" s="1"/>
  <c r="D7" i="3"/>
  <c r="T6" i="3"/>
  <c r="D6" i="3"/>
  <c r="B6" i="3"/>
  <c r="T5" i="3"/>
  <c r="D5" i="3"/>
  <c r="T4" i="3"/>
  <c r="D4" i="3"/>
  <c r="T3" i="3"/>
  <c r="B3" i="3" s="1"/>
  <c r="D3" i="3"/>
  <c r="T2" i="3"/>
  <c r="D2" i="3"/>
  <c r="B2" i="3" s="1"/>
  <c r="I109" i="2"/>
  <c r="C109" i="2"/>
  <c r="B109" i="2" s="1"/>
  <c r="I108" i="2"/>
  <c r="C108" i="2"/>
  <c r="B108" i="2" s="1"/>
  <c r="I107" i="2"/>
  <c r="C107" i="2"/>
  <c r="B107" i="2" s="1"/>
  <c r="I106" i="2"/>
  <c r="B106" i="2" s="1"/>
  <c r="C106" i="2"/>
  <c r="I105" i="2"/>
  <c r="C105" i="2"/>
  <c r="B105" i="2"/>
  <c r="I104" i="2"/>
  <c r="C104" i="2"/>
  <c r="B104" i="2"/>
  <c r="I103" i="2"/>
  <c r="C103" i="2"/>
  <c r="B103" i="2" s="1"/>
  <c r="I102" i="2"/>
  <c r="C102" i="2"/>
  <c r="B102" i="2"/>
  <c r="I101" i="2"/>
  <c r="C101" i="2"/>
  <c r="B101" i="2" s="1"/>
  <c r="I100" i="2"/>
  <c r="C100" i="2"/>
  <c r="B100" i="2" s="1"/>
  <c r="I99" i="2"/>
  <c r="C99" i="2"/>
  <c r="B99" i="2" s="1"/>
  <c r="I98" i="2"/>
  <c r="B98" i="2" s="1"/>
  <c r="C98" i="2"/>
  <c r="I97" i="2"/>
  <c r="C97" i="2"/>
  <c r="B97" i="2" s="1"/>
  <c r="I96" i="2"/>
  <c r="C96" i="2"/>
  <c r="B96" i="2" s="1"/>
  <c r="I95" i="2"/>
  <c r="C95" i="2"/>
  <c r="B95" i="2" s="1"/>
  <c r="I94" i="2"/>
  <c r="C94" i="2"/>
  <c r="B94" i="2" s="1"/>
  <c r="I93" i="2"/>
  <c r="B93" i="2" s="1"/>
  <c r="C93" i="2"/>
  <c r="I92" i="2"/>
  <c r="C92" i="2"/>
  <c r="B92" i="2" s="1"/>
  <c r="I91" i="2"/>
  <c r="C91" i="2"/>
  <c r="B91" i="2"/>
  <c r="I90" i="2"/>
  <c r="C90" i="2"/>
  <c r="B90" i="2"/>
  <c r="I89" i="2"/>
  <c r="C89" i="2"/>
  <c r="B89" i="2"/>
  <c r="I88" i="2"/>
  <c r="C88" i="2"/>
  <c r="B88" i="2" s="1"/>
  <c r="I87" i="2"/>
  <c r="C87" i="2"/>
  <c r="B87" i="2" s="1"/>
  <c r="I86" i="2"/>
  <c r="C86" i="2"/>
  <c r="B86" i="2" s="1"/>
  <c r="I85" i="2"/>
  <c r="C85" i="2"/>
  <c r="B85" i="2" s="1"/>
  <c r="I84" i="2"/>
  <c r="C84" i="2"/>
  <c r="B84" i="2"/>
  <c r="I83" i="2"/>
  <c r="C83" i="2"/>
  <c r="B83" i="2" s="1"/>
  <c r="I82" i="2"/>
  <c r="C82" i="2"/>
  <c r="B82" i="2" s="1"/>
  <c r="I81" i="2"/>
  <c r="C81" i="2"/>
  <c r="B81" i="2" s="1"/>
  <c r="I80" i="2"/>
  <c r="C80" i="2"/>
  <c r="B80" i="2" s="1"/>
  <c r="I79" i="2"/>
  <c r="C79" i="2"/>
  <c r="B79" i="2"/>
  <c r="I78" i="2"/>
  <c r="C78" i="2"/>
  <c r="B78" i="2"/>
  <c r="I77" i="2"/>
  <c r="C77" i="2"/>
  <c r="B77" i="2"/>
  <c r="I76" i="2"/>
  <c r="C76" i="2"/>
  <c r="B76" i="2"/>
  <c r="I75" i="2"/>
  <c r="C75" i="2"/>
  <c r="B75" i="2" s="1"/>
  <c r="I74" i="2"/>
  <c r="C74" i="2"/>
  <c r="B74" i="2" s="1"/>
  <c r="I73" i="2"/>
  <c r="C73" i="2"/>
  <c r="B73" i="2" s="1"/>
  <c r="I72" i="2"/>
  <c r="C72" i="2"/>
  <c r="B72" i="2" s="1"/>
  <c r="I71" i="2"/>
  <c r="C71" i="2"/>
  <c r="B71" i="2" s="1"/>
  <c r="I70" i="2"/>
  <c r="C70" i="2"/>
  <c r="B70" i="2"/>
  <c r="I69" i="2"/>
  <c r="C69" i="2"/>
  <c r="B69" i="2"/>
  <c r="I68" i="2"/>
  <c r="C68" i="2"/>
  <c r="B68" i="2" s="1"/>
  <c r="I67" i="2"/>
  <c r="C67" i="2"/>
  <c r="B67" i="2" s="1"/>
  <c r="I66" i="2"/>
  <c r="C66" i="2"/>
  <c r="B66" i="2"/>
  <c r="I65" i="2"/>
  <c r="C65" i="2"/>
  <c r="B65" i="2"/>
  <c r="I64" i="2"/>
  <c r="C64" i="2"/>
  <c r="B64" i="2" s="1"/>
  <c r="I63" i="2"/>
  <c r="C63" i="2"/>
  <c r="B63" i="2" s="1"/>
  <c r="I62" i="2"/>
  <c r="C62" i="2"/>
  <c r="B62" i="2"/>
  <c r="I61" i="2"/>
  <c r="C61" i="2"/>
  <c r="B61" i="2" s="1"/>
  <c r="I60" i="2"/>
  <c r="C60" i="2"/>
  <c r="B60" i="2" s="1"/>
  <c r="I59" i="2"/>
  <c r="C59" i="2"/>
  <c r="B59" i="2" s="1"/>
  <c r="I58" i="2"/>
  <c r="C58" i="2"/>
  <c r="B58" i="2" s="1"/>
  <c r="I57" i="2"/>
  <c r="C57" i="2"/>
  <c r="B57" i="2"/>
  <c r="I56" i="2"/>
  <c r="C56" i="2"/>
  <c r="B56" i="2" s="1"/>
  <c r="I55" i="2"/>
  <c r="C55" i="2"/>
  <c r="B55" i="2" s="1"/>
  <c r="I54" i="2"/>
  <c r="C54" i="2"/>
  <c r="B54" i="2"/>
  <c r="I53" i="2"/>
  <c r="C53" i="2"/>
  <c r="B53" i="2"/>
  <c r="I52" i="2"/>
  <c r="C52" i="2"/>
  <c r="B52" i="2"/>
  <c r="I51" i="2"/>
  <c r="C51" i="2"/>
  <c r="B51" i="2" s="1"/>
  <c r="I50" i="2"/>
  <c r="C50" i="2"/>
  <c r="B50" i="2" s="1"/>
  <c r="I49" i="2"/>
  <c r="C49" i="2"/>
  <c r="B49" i="2" s="1"/>
  <c r="I48" i="2"/>
  <c r="C48" i="2"/>
  <c r="B48" i="2"/>
  <c r="I47" i="2"/>
  <c r="C47" i="2"/>
  <c r="B47" i="2" s="1"/>
  <c r="I46" i="2"/>
  <c r="C46" i="2"/>
  <c r="B46" i="2"/>
  <c r="I45" i="2"/>
  <c r="C45" i="2"/>
  <c r="B45" i="2" s="1"/>
  <c r="I44" i="2"/>
  <c r="C44" i="2"/>
  <c r="B44" i="2" s="1"/>
  <c r="I43" i="2"/>
  <c r="C43" i="2"/>
  <c r="B43" i="2" s="1"/>
  <c r="I42" i="2"/>
  <c r="C42" i="2"/>
  <c r="B42" i="2"/>
  <c r="I41" i="2"/>
  <c r="C41" i="2"/>
  <c r="B41" i="2" s="1"/>
  <c r="I40" i="2"/>
  <c r="C40" i="2"/>
  <c r="B40" i="2"/>
  <c r="I39" i="2"/>
  <c r="C39" i="2"/>
  <c r="B39" i="2" s="1"/>
  <c r="I38" i="2"/>
  <c r="C38" i="2"/>
  <c r="B38" i="2"/>
  <c r="I37" i="2"/>
  <c r="C37" i="2"/>
  <c r="B37" i="2"/>
  <c r="I36" i="2"/>
  <c r="C36" i="2"/>
  <c r="B36" i="2"/>
  <c r="I35" i="2"/>
  <c r="C35" i="2"/>
  <c r="B35" i="2" s="1"/>
  <c r="I34" i="2"/>
  <c r="C34" i="2"/>
  <c r="B34" i="2"/>
  <c r="I33" i="2"/>
  <c r="C33" i="2"/>
  <c r="B33" i="2"/>
  <c r="I32" i="2"/>
  <c r="B32" i="2" s="1"/>
  <c r="C32" i="2"/>
  <c r="I31" i="2"/>
  <c r="C31" i="2"/>
  <c r="B31" i="2"/>
  <c r="I30" i="2"/>
  <c r="C30" i="2"/>
  <c r="B30" i="2"/>
  <c r="I29" i="2"/>
  <c r="C29" i="2"/>
  <c r="B29" i="2"/>
  <c r="I28" i="2"/>
  <c r="C28" i="2"/>
  <c r="B28" i="2"/>
  <c r="I27" i="2"/>
  <c r="C27" i="2"/>
  <c r="B27" i="2" s="1"/>
  <c r="I26" i="2"/>
  <c r="C26" i="2"/>
  <c r="B26" i="2"/>
  <c r="I25" i="2"/>
  <c r="C25" i="2"/>
  <c r="B25" i="2" s="1"/>
  <c r="I24" i="2"/>
  <c r="C24" i="2"/>
  <c r="B24" i="2" s="1"/>
  <c r="I23" i="2"/>
  <c r="C23" i="2"/>
  <c r="B23" i="2" s="1"/>
  <c r="I22" i="2"/>
  <c r="C22" i="2"/>
  <c r="B22" i="2"/>
  <c r="I21" i="2"/>
  <c r="C21" i="2"/>
  <c r="B21" i="2"/>
  <c r="I20" i="2"/>
  <c r="C20" i="2"/>
  <c r="B20" i="2" s="1"/>
  <c r="I19" i="2"/>
  <c r="C19" i="2"/>
  <c r="B19" i="2" s="1"/>
  <c r="I18" i="2"/>
  <c r="C18" i="2"/>
  <c r="B18" i="2"/>
  <c r="I17" i="2"/>
  <c r="C17" i="2"/>
  <c r="B17" i="2" s="1"/>
  <c r="I16" i="2"/>
  <c r="C16" i="2"/>
  <c r="B16" i="2" s="1"/>
  <c r="I15" i="2"/>
  <c r="C15" i="2"/>
  <c r="B15" i="2" s="1"/>
  <c r="I14" i="2"/>
  <c r="C14" i="2"/>
  <c r="B14" i="2"/>
  <c r="I13" i="2"/>
  <c r="C13" i="2"/>
  <c r="I12" i="2"/>
  <c r="C12" i="2"/>
  <c r="B12" i="2" s="1"/>
  <c r="I11" i="2"/>
  <c r="C11" i="2"/>
  <c r="I10" i="2"/>
  <c r="C10" i="2"/>
  <c r="B10" i="2"/>
  <c r="I9" i="2"/>
  <c r="C9" i="2"/>
  <c r="I8" i="2"/>
  <c r="C8" i="2"/>
  <c r="B8" i="2" s="1"/>
  <c r="I7" i="2"/>
  <c r="B7" i="2" s="1"/>
  <c r="C7" i="2"/>
  <c r="I6" i="2"/>
  <c r="C6" i="2"/>
  <c r="I5" i="2"/>
  <c r="C5" i="2"/>
  <c r="I4" i="2"/>
  <c r="C4" i="2"/>
  <c r="I3" i="2"/>
  <c r="C3" i="2"/>
  <c r="B3" i="2" s="1"/>
  <c r="I2" i="2"/>
  <c r="B2" i="2" s="1"/>
  <c r="C2" i="2"/>
  <c r="B86" i="4"/>
  <c r="D86" i="4"/>
  <c r="T109" i="4"/>
  <c r="D109" i="4"/>
  <c r="B109" i="4" s="1"/>
  <c r="T108" i="4"/>
  <c r="D108" i="4"/>
  <c r="B108" i="4"/>
  <c r="T107" i="4"/>
  <c r="D107" i="4"/>
  <c r="B107" i="4"/>
  <c r="T106" i="4"/>
  <c r="B106" i="4" s="1"/>
  <c r="D106" i="4"/>
  <c r="T105" i="4"/>
  <c r="D105" i="4"/>
  <c r="B105" i="4" s="1"/>
  <c r="T104" i="4"/>
  <c r="D104" i="4"/>
  <c r="B104" i="4" s="1"/>
  <c r="T103" i="4"/>
  <c r="D103" i="4"/>
  <c r="B103" i="4"/>
  <c r="T102" i="4"/>
  <c r="D102" i="4"/>
  <c r="B102" i="4"/>
  <c r="T101" i="4"/>
  <c r="D101" i="4"/>
  <c r="B101" i="4" s="1"/>
  <c r="T100" i="4"/>
  <c r="D100" i="4"/>
  <c r="B100" i="4"/>
  <c r="T99" i="4"/>
  <c r="D99" i="4"/>
  <c r="B99" i="4"/>
  <c r="T98" i="4"/>
  <c r="D98" i="4"/>
  <c r="B98" i="4"/>
  <c r="T97" i="4"/>
  <c r="D97" i="4"/>
  <c r="B97" i="4" s="1"/>
  <c r="T96" i="4"/>
  <c r="D96" i="4"/>
  <c r="B96" i="4"/>
  <c r="T95" i="4"/>
  <c r="D95" i="4"/>
  <c r="B95" i="4" s="1"/>
  <c r="T94" i="4"/>
  <c r="D94" i="4"/>
  <c r="B94" i="4"/>
  <c r="T93" i="4"/>
  <c r="D93" i="4"/>
  <c r="B93" i="4"/>
  <c r="T92" i="4"/>
  <c r="B92" i="4" s="1"/>
  <c r="D92" i="4"/>
  <c r="T91" i="4"/>
  <c r="D91" i="4"/>
  <c r="B91" i="4" s="1"/>
  <c r="T90" i="4"/>
  <c r="D90" i="4"/>
  <c r="B90" i="4"/>
  <c r="T89" i="4"/>
  <c r="D89" i="4"/>
  <c r="B89" i="4" s="1"/>
  <c r="T88" i="4"/>
  <c r="D88" i="4"/>
  <c r="B88" i="4"/>
  <c r="T87" i="4"/>
  <c r="D87" i="4"/>
  <c r="B87" i="4" s="1"/>
  <c r="T86" i="4"/>
  <c r="T85" i="4"/>
  <c r="D85" i="4"/>
  <c r="B85" i="4" s="1"/>
  <c r="T84" i="4"/>
  <c r="D84" i="4"/>
  <c r="B84" i="4"/>
  <c r="T83" i="4"/>
  <c r="D83" i="4"/>
  <c r="B83" i="4" s="1"/>
  <c r="T82" i="4"/>
  <c r="D82" i="4"/>
  <c r="B82" i="4" s="1"/>
  <c r="T81" i="4"/>
  <c r="D81" i="4"/>
  <c r="B81" i="4" s="1"/>
  <c r="T80" i="4"/>
  <c r="D80" i="4"/>
  <c r="B80" i="4" s="1"/>
  <c r="T79" i="4"/>
  <c r="B79" i="4" s="1"/>
  <c r="D79" i="4"/>
  <c r="T78" i="4"/>
  <c r="B78" i="4" s="1"/>
  <c r="D78" i="4"/>
  <c r="T77" i="4"/>
  <c r="D77" i="4"/>
  <c r="B77" i="4"/>
  <c r="T76" i="4"/>
  <c r="D76" i="4"/>
  <c r="B76" i="4"/>
  <c r="T75" i="4"/>
  <c r="D75" i="4"/>
  <c r="B75" i="4" s="1"/>
  <c r="T74" i="4"/>
  <c r="D74" i="4"/>
  <c r="B74" i="4" s="1"/>
  <c r="T73" i="4"/>
  <c r="D73" i="4"/>
  <c r="B73" i="4" s="1"/>
  <c r="T72" i="4"/>
  <c r="D72" i="4"/>
  <c r="B72" i="4" s="1"/>
  <c r="T71" i="4"/>
  <c r="D71" i="4"/>
  <c r="B71" i="4"/>
  <c r="T70" i="4"/>
  <c r="D70" i="4"/>
  <c r="B70" i="4" s="1"/>
  <c r="T69" i="4"/>
  <c r="B69" i="4" s="1"/>
  <c r="D69" i="4"/>
  <c r="T68" i="4"/>
  <c r="D68" i="4"/>
  <c r="B68" i="4" s="1"/>
  <c r="T67" i="4"/>
  <c r="D67" i="4"/>
  <c r="B67" i="4"/>
  <c r="T66" i="4"/>
  <c r="D66" i="4"/>
  <c r="B66" i="4"/>
  <c r="T65" i="4"/>
  <c r="B65" i="4" s="1"/>
  <c r="D65" i="4"/>
  <c r="T64" i="4"/>
  <c r="D64" i="4"/>
  <c r="B64" i="4" s="1"/>
  <c r="T63" i="4"/>
  <c r="D63" i="4"/>
  <c r="B63" i="4"/>
  <c r="T62" i="4"/>
  <c r="D62" i="4"/>
  <c r="B62" i="4"/>
  <c r="T61" i="4"/>
  <c r="D61" i="4"/>
  <c r="B61" i="4"/>
  <c r="T60" i="4"/>
  <c r="D60" i="4"/>
  <c r="B60" i="4"/>
  <c r="T59" i="4"/>
  <c r="D59" i="4"/>
  <c r="B59" i="4" s="1"/>
  <c r="T58" i="4"/>
  <c r="D58" i="4"/>
  <c r="B58" i="4" s="1"/>
  <c r="T57" i="4"/>
  <c r="D57" i="4"/>
  <c r="B57" i="4" s="1"/>
  <c r="T56" i="4"/>
  <c r="D56" i="4"/>
  <c r="B56" i="4" s="1"/>
  <c r="T55" i="4"/>
  <c r="B55" i="4" s="1"/>
  <c r="D55" i="4"/>
  <c r="T54" i="4"/>
  <c r="D54" i="4"/>
  <c r="B54" i="4"/>
  <c r="T53" i="4"/>
  <c r="D53" i="4"/>
  <c r="B53" i="4"/>
  <c r="T52" i="4"/>
  <c r="D52" i="4"/>
  <c r="B52" i="4"/>
  <c r="T51" i="4"/>
  <c r="D51" i="4"/>
  <c r="B51" i="4" s="1"/>
  <c r="T50" i="4"/>
  <c r="D50" i="4"/>
  <c r="B50" i="4" s="1"/>
  <c r="T49" i="4"/>
  <c r="D49" i="4"/>
  <c r="B49" i="4" s="1"/>
  <c r="T48" i="4"/>
  <c r="D48" i="4"/>
  <c r="B48" i="4"/>
  <c r="T47" i="4"/>
  <c r="D47" i="4"/>
  <c r="B47" i="4" s="1"/>
  <c r="T46" i="4"/>
  <c r="D46" i="4"/>
  <c r="B46" i="4"/>
  <c r="T45" i="4"/>
  <c r="D45" i="4"/>
  <c r="B45" i="4" s="1"/>
  <c r="T44" i="4"/>
  <c r="D44" i="4"/>
  <c r="B44" i="4" s="1"/>
  <c r="T43" i="4"/>
  <c r="D43" i="4"/>
  <c r="B43" i="4" s="1"/>
  <c r="T42" i="4"/>
  <c r="D42" i="4"/>
  <c r="B42" i="4"/>
  <c r="T41" i="4"/>
  <c r="D41" i="4"/>
  <c r="B41" i="4"/>
  <c r="T40" i="4"/>
  <c r="D40" i="4"/>
  <c r="B40" i="4"/>
  <c r="T39" i="4"/>
  <c r="D39" i="4"/>
  <c r="B39" i="4" s="1"/>
  <c r="T38" i="4"/>
  <c r="D38" i="4"/>
  <c r="B38" i="4"/>
  <c r="T37" i="4"/>
  <c r="D37" i="4"/>
  <c r="B37" i="4" s="1"/>
  <c r="T36" i="4"/>
  <c r="D36" i="4"/>
  <c r="B36" i="4" s="1"/>
  <c r="T35" i="4"/>
  <c r="D35" i="4"/>
  <c r="B35" i="4" s="1"/>
  <c r="T34" i="4"/>
  <c r="D34" i="4"/>
  <c r="B34" i="4"/>
  <c r="T33" i="4"/>
  <c r="B33" i="4" s="1"/>
  <c r="D33" i="4"/>
  <c r="D32" i="4"/>
  <c r="B32" i="4" s="1"/>
  <c r="T31" i="4"/>
  <c r="D31" i="4"/>
  <c r="B31" i="4"/>
  <c r="T30" i="4"/>
  <c r="B30" i="4" s="1"/>
  <c r="D30" i="4"/>
  <c r="T29" i="4"/>
  <c r="D29" i="4"/>
  <c r="B29" i="4" s="1"/>
  <c r="T28" i="4"/>
  <c r="D28" i="4"/>
  <c r="B28" i="4"/>
  <c r="T27" i="4"/>
  <c r="D27" i="4"/>
  <c r="B27" i="4"/>
  <c r="T26" i="4"/>
  <c r="D26" i="4"/>
  <c r="B26" i="4" s="1"/>
  <c r="T25" i="4"/>
  <c r="D25" i="4"/>
  <c r="B25" i="4" s="1"/>
  <c r="T24" i="4"/>
  <c r="D24" i="4"/>
  <c r="B24" i="4"/>
  <c r="T23" i="4"/>
  <c r="D23" i="4"/>
  <c r="B23" i="4" s="1"/>
  <c r="T22" i="4"/>
  <c r="D22" i="4"/>
  <c r="B22" i="4"/>
  <c r="T21" i="4"/>
  <c r="D21" i="4"/>
  <c r="B21" i="4"/>
  <c r="T20" i="4"/>
  <c r="D20" i="4"/>
  <c r="B20" i="4" s="1"/>
  <c r="T19" i="4"/>
  <c r="D19" i="4"/>
  <c r="B19" i="4" s="1"/>
  <c r="T18" i="4"/>
  <c r="D18" i="4"/>
  <c r="B18" i="4"/>
  <c r="T17" i="4"/>
  <c r="D17" i="4"/>
  <c r="B17" i="4" s="1"/>
  <c r="T16" i="4"/>
  <c r="D16" i="4"/>
  <c r="B16" i="4"/>
  <c r="T15" i="4"/>
  <c r="D15" i="4"/>
  <c r="B15" i="4" s="1"/>
  <c r="T14" i="4"/>
  <c r="D14" i="4"/>
  <c r="B14" i="4"/>
  <c r="T13" i="4"/>
  <c r="D13" i="4"/>
  <c r="B13" i="4" s="1"/>
  <c r="T12" i="4"/>
  <c r="B12" i="4" s="1"/>
  <c r="D12" i="4"/>
  <c r="T11" i="4"/>
  <c r="D11" i="4"/>
  <c r="T10" i="4"/>
  <c r="D10" i="4"/>
  <c r="T9" i="4"/>
  <c r="D9" i="4"/>
  <c r="T8" i="4"/>
  <c r="D8" i="4"/>
  <c r="B8" i="4" s="1"/>
  <c r="T7" i="4"/>
  <c r="D7" i="4"/>
  <c r="T6" i="4"/>
  <c r="B6" i="4" s="1"/>
  <c r="D6" i="4"/>
  <c r="T5" i="4"/>
  <c r="B5" i="4" s="1"/>
  <c r="D5" i="4"/>
  <c r="T4" i="4"/>
  <c r="D4" i="4"/>
  <c r="B4" i="4" s="1"/>
  <c r="T3" i="4"/>
  <c r="D3" i="4"/>
  <c r="T2" i="4"/>
  <c r="D2" i="4"/>
  <c r="B2" i="4" s="1"/>
  <c r="Q14" i="5"/>
  <c r="B14" i="5" s="1"/>
  <c r="C38" i="5"/>
  <c r="C39" i="5"/>
  <c r="C40" i="5"/>
  <c r="C41" i="5"/>
  <c r="C42" i="5"/>
  <c r="C43" i="5"/>
  <c r="C44" i="5"/>
  <c r="C45" i="5"/>
  <c r="C46" i="5"/>
  <c r="C47" i="5"/>
  <c r="C48" i="5"/>
  <c r="C49" i="5"/>
  <c r="B3" i="5"/>
  <c r="B4" i="5"/>
  <c r="B5" i="5"/>
  <c r="B6" i="5"/>
  <c r="B7" i="5"/>
  <c r="B8" i="5"/>
  <c r="B9" i="5"/>
  <c r="B10" i="5"/>
  <c r="B11" i="5"/>
  <c r="B12" i="5"/>
  <c r="B13" i="5"/>
  <c r="B15" i="5"/>
  <c r="B16" i="5"/>
  <c r="B17" i="5"/>
  <c r="B18" i="5"/>
  <c r="B19" i="5"/>
  <c r="B20" i="5"/>
  <c r="B21" i="5"/>
  <c r="B22" i="5"/>
  <c r="B23" i="5"/>
  <c r="B24" i="5"/>
  <c r="B25" i="5"/>
  <c r="B10" i="3" l="1"/>
  <c r="B11" i="3"/>
  <c r="B5" i="3"/>
  <c r="B13" i="3"/>
  <c r="B4" i="3"/>
  <c r="B9" i="3"/>
  <c r="B4" i="2"/>
  <c r="B11" i="2"/>
  <c r="B5" i="2"/>
  <c r="B9" i="2"/>
  <c r="B6" i="2"/>
  <c r="B13" i="2"/>
  <c r="B7" i="4"/>
  <c r="B3" i="4"/>
  <c r="B11" i="4"/>
  <c r="B9" i="4"/>
  <c r="B10" i="4"/>
  <c r="B43" i="5"/>
  <c r="B4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B26" i="5" s="1"/>
  <c r="C27" i="5"/>
  <c r="B27" i="5" s="1"/>
  <c r="C28" i="5"/>
  <c r="C29" i="5"/>
  <c r="B29" i="5" s="1"/>
  <c r="C30" i="5"/>
  <c r="C31" i="5"/>
  <c r="C32" i="5"/>
  <c r="C33" i="5"/>
  <c r="C34" i="5"/>
  <c r="B34" i="5" s="1"/>
  <c r="C35" i="5"/>
  <c r="B35" i="5" s="1"/>
  <c r="C36" i="5"/>
  <c r="C37" i="5"/>
  <c r="B37" i="5" s="1"/>
  <c r="C50" i="5"/>
  <c r="C51" i="5"/>
  <c r="C52" i="5"/>
  <c r="B52" i="5" s="1"/>
  <c r="C53" i="5"/>
  <c r="B53" i="5" s="1"/>
  <c r="C54" i="5"/>
  <c r="C55" i="5"/>
  <c r="B55" i="5" s="1"/>
  <c r="C56" i="5"/>
  <c r="C57" i="5"/>
  <c r="C58" i="5"/>
  <c r="C59" i="5"/>
  <c r="C60" i="5"/>
  <c r="B60" i="5" s="1"/>
  <c r="C61" i="5"/>
  <c r="B61" i="5" s="1"/>
  <c r="C62" i="5"/>
  <c r="C63" i="5"/>
  <c r="C64" i="5"/>
  <c r="C65" i="5"/>
  <c r="C66" i="5"/>
  <c r="C67" i="5"/>
  <c r="B67" i="5" s="1"/>
  <c r="C68" i="5"/>
  <c r="B68" i="5" s="1"/>
  <c r="C69" i="5"/>
  <c r="C70" i="5"/>
  <c r="C71" i="5"/>
  <c r="C72" i="5"/>
  <c r="C73" i="5"/>
  <c r="C74" i="5"/>
  <c r="C75" i="5"/>
  <c r="C76" i="5"/>
  <c r="C77" i="5"/>
  <c r="C78" i="5"/>
  <c r="B78" i="5" s="1"/>
  <c r="C79" i="5"/>
  <c r="B79" i="5" s="1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B100" i="5" s="1"/>
  <c r="C101" i="5"/>
  <c r="C102" i="5"/>
  <c r="C103" i="5"/>
  <c r="C104" i="5"/>
  <c r="C105" i="5"/>
  <c r="C106" i="5"/>
  <c r="C107" i="5"/>
  <c r="C108" i="5"/>
  <c r="B108" i="5" s="1"/>
  <c r="C109" i="5"/>
  <c r="Q3" i="5"/>
  <c r="Q4" i="5"/>
  <c r="Q5" i="5"/>
  <c r="Q6" i="5"/>
  <c r="Q7" i="5"/>
  <c r="Q8" i="5"/>
  <c r="Q9" i="5"/>
  <c r="Q10" i="5"/>
  <c r="Q11" i="5"/>
  <c r="Q12" i="5"/>
  <c r="Q13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B38" i="5" s="1"/>
  <c r="Q39" i="5"/>
  <c r="B39" i="5" s="1"/>
  <c r="Q40" i="5"/>
  <c r="B40" i="5" s="1"/>
  <c r="Q41" i="5"/>
  <c r="B41" i="5" s="1"/>
  <c r="Q42" i="5"/>
  <c r="Q43" i="5"/>
  <c r="Q44" i="5"/>
  <c r="B44" i="5" s="1"/>
  <c r="Q45" i="5"/>
  <c r="B45" i="5" s="1"/>
  <c r="Q46" i="5"/>
  <c r="B46" i="5" s="1"/>
  <c r="Q47" i="5"/>
  <c r="B47" i="5" s="1"/>
  <c r="Q48" i="5"/>
  <c r="B48" i="5" s="1"/>
  <c r="Q49" i="5"/>
  <c r="B49" i="5" s="1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2" i="5"/>
  <c r="C2" i="5"/>
  <c r="B2" i="5" s="1"/>
  <c r="B107" i="5" l="1"/>
  <c r="B99" i="5"/>
  <c r="B106" i="5"/>
  <c r="B98" i="5"/>
  <c r="B105" i="5"/>
  <c r="B104" i="5"/>
  <c r="B103" i="5"/>
  <c r="B102" i="5"/>
  <c r="B109" i="5"/>
  <c r="B101" i="5"/>
  <c r="B95" i="5"/>
  <c r="B87" i="5"/>
  <c r="B94" i="5"/>
  <c r="B86" i="5"/>
  <c r="B92" i="5"/>
  <c r="B91" i="5"/>
  <c r="B93" i="5"/>
  <c r="B97" i="5"/>
  <c r="B89" i="5"/>
  <c r="B90" i="5"/>
  <c r="B96" i="5"/>
  <c r="B88" i="5"/>
  <c r="B85" i="5"/>
  <c r="B84" i="5"/>
  <c r="B76" i="5"/>
  <c r="B83" i="5"/>
  <c r="B75" i="5"/>
  <c r="B77" i="5"/>
  <c r="B82" i="5"/>
  <c r="B81" i="5"/>
  <c r="B74" i="5"/>
  <c r="B80" i="5"/>
  <c r="B66" i="5"/>
  <c r="B73" i="5"/>
  <c r="B65" i="5"/>
  <c r="B71" i="5"/>
  <c r="B63" i="5"/>
  <c r="B72" i="5"/>
  <c r="B70" i="5"/>
  <c r="B62" i="5"/>
  <c r="B64" i="5"/>
  <c r="B69" i="5"/>
  <c r="B59" i="5"/>
  <c r="B51" i="5"/>
  <c r="B58" i="5"/>
  <c r="B57" i="5"/>
  <c r="B50" i="5"/>
  <c r="B56" i="5"/>
  <c r="B54" i="5"/>
  <c r="B32" i="5"/>
  <c r="B33" i="5"/>
  <c r="B31" i="5"/>
  <c r="B30" i="5"/>
  <c r="B36" i="5"/>
  <c r="B28" i="5"/>
  <c r="C107" i="1"/>
  <c r="I107" i="1"/>
  <c r="C108" i="1"/>
  <c r="I108" i="1"/>
  <c r="C109" i="1"/>
  <c r="I109" i="1"/>
  <c r="I97" i="1"/>
  <c r="I96" i="1"/>
  <c r="I95" i="1"/>
  <c r="I94" i="1"/>
  <c r="I93" i="1"/>
  <c r="I92" i="1"/>
  <c r="I91" i="1"/>
  <c r="I90" i="1"/>
  <c r="I89" i="1"/>
  <c r="I88" i="1"/>
  <c r="I87" i="1"/>
  <c r="I86" i="1"/>
  <c r="B109" i="1" l="1"/>
  <c r="B107" i="1"/>
  <c r="B108" i="1"/>
  <c r="C74" i="1"/>
  <c r="I74" i="1"/>
  <c r="B74" i="1" l="1"/>
  <c r="I50" i="1" l="1"/>
  <c r="I51" i="1"/>
  <c r="I52" i="1"/>
  <c r="I53" i="1"/>
  <c r="I54" i="1"/>
  <c r="I14" i="1" l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5" i="1"/>
  <c r="I76" i="1"/>
  <c r="I77" i="1"/>
  <c r="I78" i="1"/>
  <c r="I79" i="1"/>
  <c r="I80" i="1"/>
  <c r="I81" i="1"/>
  <c r="I82" i="1"/>
  <c r="I83" i="1"/>
  <c r="I84" i="1"/>
  <c r="I85" i="1"/>
  <c r="I98" i="1"/>
  <c r="I99" i="1"/>
  <c r="I100" i="1"/>
  <c r="I101" i="1"/>
  <c r="I102" i="1"/>
  <c r="I103" i="1"/>
  <c r="I104" i="1"/>
  <c r="I105" i="1"/>
  <c r="I106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B33" i="1" s="1"/>
  <c r="C34" i="1"/>
  <c r="C35" i="1"/>
  <c r="C36" i="1"/>
  <c r="B36" i="1" s="1"/>
  <c r="C37" i="1"/>
  <c r="C38" i="1"/>
  <c r="C39" i="1"/>
  <c r="C40" i="1"/>
  <c r="C41" i="1"/>
  <c r="C42" i="1"/>
  <c r="C43" i="1"/>
  <c r="C44" i="1"/>
  <c r="B44" i="1" s="1"/>
  <c r="C45" i="1"/>
  <c r="C46" i="1"/>
  <c r="C47" i="1"/>
  <c r="C48" i="1"/>
  <c r="C49" i="1"/>
  <c r="C50" i="1"/>
  <c r="C51" i="1"/>
  <c r="C52" i="1"/>
  <c r="C53" i="1"/>
  <c r="C54" i="1"/>
  <c r="B54" i="1" s="1"/>
  <c r="C55" i="1"/>
  <c r="C56" i="1"/>
  <c r="C57" i="1"/>
  <c r="C58" i="1"/>
  <c r="C59" i="1"/>
  <c r="C60" i="1"/>
  <c r="C61" i="1"/>
  <c r="C62" i="1"/>
  <c r="B62" i="1" s="1"/>
  <c r="C63" i="1"/>
  <c r="C64" i="1"/>
  <c r="C65" i="1"/>
  <c r="C66" i="1"/>
  <c r="C67" i="1"/>
  <c r="C68" i="1"/>
  <c r="C69" i="1"/>
  <c r="C70" i="1"/>
  <c r="B70" i="1" s="1"/>
  <c r="C71" i="1"/>
  <c r="C72" i="1"/>
  <c r="C73" i="1"/>
  <c r="C75" i="1"/>
  <c r="C76" i="1"/>
  <c r="B76" i="1" s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B97" i="1" s="1"/>
  <c r="C98" i="1"/>
  <c r="C99" i="1"/>
  <c r="C100" i="1"/>
  <c r="B100" i="1" s="1"/>
  <c r="C101" i="1"/>
  <c r="C102" i="1"/>
  <c r="C103" i="1"/>
  <c r="C104" i="1"/>
  <c r="C105" i="1"/>
  <c r="C106" i="1"/>
  <c r="I3" i="1"/>
  <c r="I4" i="1"/>
  <c r="I5" i="1"/>
  <c r="I6" i="1"/>
  <c r="I7" i="1"/>
  <c r="I8" i="1"/>
  <c r="I9" i="1"/>
  <c r="I10" i="1"/>
  <c r="I11" i="1"/>
  <c r="B11" i="1" s="1"/>
  <c r="I12" i="1"/>
  <c r="I13" i="1"/>
  <c r="I2" i="1"/>
  <c r="C3" i="1"/>
  <c r="C4" i="1"/>
  <c r="C5" i="1"/>
  <c r="C6" i="1"/>
  <c r="C7" i="1"/>
  <c r="C8" i="1"/>
  <c r="C9" i="1"/>
  <c r="C10" i="1"/>
  <c r="C11" i="1"/>
  <c r="C12" i="1"/>
  <c r="C13" i="1"/>
  <c r="C2" i="1"/>
  <c r="B2" i="1" s="1"/>
  <c r="B78" i="1" l="1"/>
  <c r="B65" i="1"/>
  <c r="B57" i="1"/>
  <c r="B13" i="1"/>
  <c r="B5" i="1"/>
  <c r="B58" i="1"/>
  <c r="B104" i="1"/>
  <c r="B88" i="1"/>
  <c r="B80" i="1"/>
  <c r="B64" i="1"/>
  <c r="B56" i="1"/>
  <c r="B48" i="1"/>
  <c r="B40" i="1"/>
  <c r="B24" i="1"/>
  <c r="B16" i="1"/>
  <c r="B8" i="1"/>
  <c r="B96" i="1"/>
  <c r="B72" i="1"/>
  <c r="B32" i="1"/>
  <c r="B46" i="1"/>
  <c r="B106" i="1"/>
  <c r="B30" i="1"/>
  <c r="B22" i="1"/>
  <c r="B38" i="1"/>
  <c r="B90" i="1"/>
  <c r="B14" i="1"/>
  <c r="B42" i="1"/>
  <c r="B6" i="1"/>
  <c r="B102" i="1"/>
  <c r="B26" i="1"/>
  <c r="B7" i="1"/>
  <c r="B94" i="1"/>
  <c r="B86" i="1"/>
  <c r="B3" i="1"/>
  <c r="B92" i="1"/>
  <c r="B49" i="1"/>
  <c r="B28" i="1"/>
  <c r="B83" i="1"/>
  <c r="B51" i="1"/>
  <c r="B19" i="1"/>
  <c r="B9" i="1"/>
  <c r="B105" i="1"/>
  <c r="B84" i="1"/>
  <c r="B41" i="1"/>
  <c r="B20" i="1"/>
  <c r="B89" i="1"/>
  <c r="B68" i="1"/>
  <c r="B25" i="1"/>
  <c r="B81" i="1"/>
  <c r="B60" i="1"/>
  <c r="B17" i="1"/>
  <c r="B103" i="1"/>
  <c r="B95" i="1"/>
  <c r="B87" i="1"/>
  <c r="B79" i="1"/>
  <c r="B71" i="1"/>
  <c r="B63" i="1"/>
  <c r="B55" i="1"/>
  <c r="B47" i="1"/>
  <c r="B39" i="1"/>
  <c r="B31" i="1"/>
  <c r="B23" i="1"/>
  <c r="B15" i="1"/>
  <c r="B73" i="1"/>
  <c r="B52" i="1"/>
  <c r="B67" i="1"/>
  <c r="B59" i="1"/>
  <c r="B27" i="1"/>
  <c r="B91" i="1"/>
  <c r="B35" i="1"/>
  <c r="B99" i="1"/>
  <c r="B75" i="1"/>
  <c r="B43" i="1"/>
  <c r="B12" i="1"/>
  <c r="B4" i="1"/>
  <c r="B10" i="1"/>
  <c r="B77" i="1"/>
  <c r="B45" i="1"/>
  <c r="B29" i="1"/>
  <c r="B98" i="1"/>
  <c r="B82" i="1"/>
  <c r="B66" i="1"/>
  <c r="B50" i="1"/>
  <c r="B34" i="1"/>
  <c r="B18" i="1"/>
  <c r="B93" i="1"/>
  <c r="B61" i="1"/>
  <c r="B101" i="1"/>
  <c r="B85" i="1"/>
  <c r="B69" i="1"/>
  <c r="B53" i="1"/>
  <c r="B37" i="1"/>
  <c r="B21" i="1"/>
</calcChain>
</file>

<file path=xl/sharedStrings.xml><?xml version="1.0" encoding="utf-8"?>
<sst xmlns="http://schemas.openxmlformats.org/spreadsheetml/2006/main" count="112" uniqueCount="58">
  <si>
    <t>PORTUGAL</t>
  </si>
  <si>
    <t>CONTINENTE</t>
  </si>
  <si>
    <t>Norte</t>
  </si>
  <si>
    <t>Centro</t>
  </si>
  <si>
    <t>Lisboa V. Tejo</t>
  </si>
  <si>
    <t>Alentejo</t>
  </si>
  <si>
    <t>Algarve</t>
  </si>
  <si>
    <t>REG.AUTÓNOMAS</t>
  </si>
  <si>
    <t>Açores</t>
  </si>
  <si>
    <t>Madeira</t>
  </si>
  <si>
    <t xml:space="preserve">  Total</t>
  </si>
  <si>
    <t>Agricultura, produção animal, caça, floresta e pesca</t>
  </si>
  <si>
    <t>Indústria, energia e água e construção</t>
  </si>
  <si>
    <t>Indústrias extrativas</t>
  </si>
  <si>
    <t>Indústrias alimentares das bebidas e do tabaco</t>
  </si>
  <si>
    <t>Fabricação de têxteis</t>
  </si>
  <si>
    <t>Indústria do vestuário</t>
  </si>
  <si>
    <t>Indústria do couro e dos produtos do couro</t>
  </si>
  <si>
    <t>Indústria da madeira e da cortiça</t>
  </si>
  <si>
    <t>Indústrias do papel, impressão e reprodução</t>
  </si>
  <si>
    <t>Fab. produtos petrolíferos, químicos, farmacêuticos, borracha e plástico</t>
  </si>
  <si>
    <t>Fabricação de outros produtos minerais não metálicos</t>
  </si>
  <si>
    <t>Indústria metalúrgica de base e fab. produtos metálicos</t>
  </si>
  <si>
    <t>Fab. equipamento informático, elétrico, máquinas e equipamentos n.e.</t>
  </si>
  <si>
    <t>Fab. veículos automóveis, componentes e outro equipa. de transporte</t>
  </si>
  <si>
    <t>Fab. mobiliário, repar. instal. máq. e equipa. e outras ind. transformadoras</t>
  </si>
  <si>
    <t>Eletricidade, gás e água, saneamento, resíduos e despoluição</t>
  </si>
  <si>
    <t>Construção</t>
  </si>
  <si>
    <t>Serviços</t>
  </si>
  <si>
    <t>Comércio, manut. repar. de veículos automóveis e motociclos</t>
  </si>
  <si>
    <t>Comércio por grosso e a retalho</t>
  </si>
  <si>
    <t>Transportes e armazenagem</t>
  </si>
  <si>
    <t>Alojamento, restauração e similares</t>
  </si>
  <si>
    <t>Atividades de informação e de comunicação</t>
  </si>
  <si>
    <t>Atividades financeiras e de seguros</t>
  </si>
  <si>
    <t>Atividades imobiliárias, administrativas e dos serviços de apoio</t>
  </si>
  <si>
    <t>Atividades de consultoria, científicas, técnicas e similares</t>
  </si>
  <si>
    <t>Admin. pública, educação, atividades de saúde e apoio social</t>
  </si>
  <si>
    <t>Outras atividades de serviços</t>
  </si>
  <si>
    <t>Sem classificação</t>
  </si>
  <si>
    <t>&gt;= 25 anos de idade</t>
  </si>
  <si>
    <t>&lt; 25 anos de idade</t>
  </si>
  <si>
    <t>&lt; 1 ano de inscrição</t>
  </si>
  <si>
    <t>&gt;= 1 ano de inscrição</t>
  </si>
  <si>
    <t>Primeiro Emprego</t>
  </si>
  <si>
    <t>Novo Emprego</t>
  </si>
  <si>
    <t>Nenhum  Nível de Instrução</t>
  </si>
  <si>
    <t>Básico - 1º Ciclo</t>
  </si>
  <si>
    <t>Básico - 2º Ciclo</t>
  </si>
  <si>
    <t>Básico - 3º Ciclo</t>
  </si>
  <si>
    <t>Secundário</t>
  </si>
  <si>
    <t>Superior</t>
  </si>
  <si>
    <t xml:space="preserve"> Mulheres</t>
  </si>
  <si>
    <t xml:space="preserve"> &lt; 1 ano de inscrição</t>
  </si>
  <si>
    <t>Homens</t>
  </si>
  <si>
    <t>Nenhum  
Nível de Instrução</t>
  </si>
  <si>
    <t>Desemprego registado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</si>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</sst>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&quot; &quot;##0"/>
    <numFmt numFmtId="165" formatCode="#&quot; &quot;##0&quot; &quot;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" fillId="0" borderId="0" applyNumberFormat="0" applyBorder="0" applyProtection="0"/>
  </cellStyleXfs>
  <cellXfs count="76">
    <xf numFmtId="0" fontId="0" fillId="0" borderId="0" xfId="0"/>
    <xf numFmtId="0" fontId="3" fillId="0" borderId="0" xfId="0" applyFont="1"/>
    <xf numFmtId="0" fontId="0" fillId="0" borderId="0" xfId="0" applyAlignment="1">
      <alignment horizontal="right"/>
    </xf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  <xf numFmtId="164" fontId="5" fillId="0" borderId="0" xfId="0" applyNumberFormat="1" applyFont="1"/>
    <xf numFmtId="0" fontId="1" fillId="0" borderId="0" xfId="0" applyFont="1" applyFill="1" applyBorder="1"/>
    <xf numFmtId="164" fontId="4" fillId="0" borderId="0" xfId="0" applyNumberFormat="1" applyFont="1" applyFill="1" applyBorder="1" applyAlignment="1">
      <alignment vertical="center"/>
    </xf>
    <xf numFmtId="164" fontId="4" fillId="0" borderId="0" xfId="0" applyNumberFormat="1" applyFont="1" applyFill="1" applyBorder="1" applyAlignment="1">
      <alignment horizontal="right" vertical="center"/>
    </xf>
    <xf numFmtId="164" fontId="4" fillId="0" borderId="0" xfId="1" applyNumberFormat="1" applyFont="1" applyFill="1" applyBorder="1" applyAlignment="1">
      <alignment horizontal="right"/>
    </xf>
    <xf numFmtId="164" fontId="4" fillId="0" borderId="0" xfId="1" applyNumberFormat="1" applyFont="1" applyFill="1" applyBorder="1"/>
    <xf numFmtId="164" fontId="4" fillId="0" borderId="0" xfId="1" applyNumberFormat="1" applyFont="1" applyFill="1" applyBorder="1" applyProtection="1"/>
    <xf numFmtId="164" fontId="8" fillId="0" borderId="0" xfId="0" applyNumberFormat="1" applyFont="1" applyFill="1" applyBorder="1" applyAlignment="1">
      <alignment vertical="center"/>
    </xf>
    <xf numFmtId="164" fontId="2" fillId="0" borderId="0" xfId="0" applyNumberFormat="1" applyFont="1" applyFill="1" applyBorder="1"/>
    <xf numFmtId="0" fontId="2" fillId="0" borderId="0" xfId="0" applyFont="1" applyFill="1" applyBorder="1"/>
    <xf numFmtId="164" fontId="8" fillId="0" borderId="0" xfId="0" applyNumberFormat="1" applyFont="1" applyFill="1" applyBorder="1" applyAlignment="1">
      <alignment horizontal="right" vertical="center"/>
    </xf>
    <xf numFmtId="164" fontId="8" fillId="0" borderId="0" xfId="1" applyNumberFormat="1" applyFont="1" applyFill="1" applyBorder="1" applyAlignment="1">
      <alignment horizontal="right"/>
    </xf>
    <xf numFmtId="164" fontId="8" fillId="0" borderId="0" xfId="1" applyNumberFormat="1" applyFont="1" applyFill="1" applyBorder="1"/>
    <xf numFmtId="164" fontId="8" fillId="0" borderId="0" xfId="1" applyNumberFormat="1" applyFont="1" applyFill="1" applyBorder="1" applyProtection="1"/>
    <xf numFmtId="0" fontId="0" fillId="0" borderId="0" xfId="0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/>
    <xf numFmtId="164" fontId="8" fillId="0" borderId="0" xfId="0" applyNumberFormat="1" applyFont="1" applyFill="1" applyBorder="1" applyAlignment="1">
      <alignment horizontal="right"/>
    </xf>
    <xf numFmtId="0" fontId="3" fillId="0" borderId="0" xfId="0" applyFont="1" applyFill="1" applyBorder="1"/>
    <xf numFmtId="164" fontId="8" fillId="0" borderId="0" xfId="0" applyNumberFormat="1" applyFont="1" applyFill="1" applyBorder="1"/>
    <xf numFmtId="165" fontId="2" fillId="0" borderId="0" xfId="0" applyNumberFormat="1" applyFont="1" applyFill="1" applyBorder="1" applyAlignment="1"/>
    <xf numFmtId="165" fontId="9" fillId="0" borderId="0" xfId="0" applyNumberFormat="1" applyFont="1" applyFill="1" applyBorder="1" applyAlignment="1"/>
    <xf numFmtId="0" fontId="2" fillId="0" borderId="0" xfId="0" applyFont="1" applyFill="1" applyBorder="1" applyAlignment="1"/>
    <xf numFmtId="165" fontId="8" fillId="0" borderId="0" xfId="0" applyNumberFormat="1" applyFont="1" applyFill="1" applyBorder="1" applyAlignment="1"/>
    <xf numFmtId="164" fontId="2" fillId="0" borderId="0" xfId="0" applyNumberFormat="1" applyFont="1" applyFill="1" applyBorder="1" applyAlignment="1"/>
    <xf numFmtId="164" fontId="9" fillId="0" borderId="0" xfId="1" applyNumberFormat="1" applyFont="1" applyFill="1" applyBorder="1" applyAlignment="1"/>
    <xf numFmtId="164" fontId="8" fillId="0" borderId="0" xfId="1" applyNumberFormat="1" applyFont="1" applyFill="1" applyBorder="1" applyAlignment="1"/>
    <xf numFmtId="164" fontId="9" fillId="0" borderId="0" xfId="1" applyNumberFormat="1" applyFont="1" applyFill="1" applyBorder="1" applyAlignment="1" applyProtection="1"/>
    <xf numFmtId="164" fontId="8" fillId="0" borderId="0" xfId="1" applyNumberFormat="1" applyFont="1" applyFill="1" applyBorder="1" applyAlignment="1" applyProtection="1"/>
    <xf numFmtId="14" fontId="3" fillId="0" borderId="0" xfId="0" applyNumberFormat="1" applyFont="1" applyFill="1" applyBorder="1" applyAlignment="1"/>
    <xf numFmtId="14" fontId="3" fillId="0" borderId="0" xfId="0" applyNumberFormat="1" applyFont="1"/>
    <xf numFmtId="14" fontId="3" fillId="0" borderId="0" xfId="0" applyNumberFormat="1" applyFont="1" applyFill="1" applyBorder="1" applyAlignment="1">
      <alignment horizontal="right"/>
    </xf>
    <xf numFmtId="14" fontId="0" fillId="0" borderId="0" xfId="0" applyNumberFormat="1" applyFont="1"/>
    <xf numFmtId="14" fontId="7" fillId="3" borderId="1" xfId="0" applyNumberFormat="1" applyFont="1" applyFill="1" applyBorder="1" applyAlignment="1">
      <alignment horizontal="center" vertical="center"/>
    </xf>
    <xf numFmtId="14" fontId="3" fillId="0" borderId="0" xfId="0" applyNumberFormat="1" applyFont="1" applyFill="1" applyBorder="1"/>
    <xf numFmtId="14" fontId="0" fillId="0" borderId="0" xfId="0" applyNumberFormat="1"/>
    <xf numFmtId="14" fontId="7" fillId="2" borderId="0" xfId="0" applyNumberFormat="1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/>
    </xf>
    <xf numFmtId="14" fontId="7" fillId="2" borderId="1" xfId="0" applyNumberFormat="1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" fillId="2" borderId="2" xfId="0" applyFont="1" applyFill="1" applyBorder="1"/>
    <xf numFmtId="0" fontId="1" fillId="0" borderId="0" xfId="0" applyFont="1" applyFill="1" applyBorder="1" applyAlignment="1">
      <alignment horizontal="right"/>
    </xf>
    <xf numFmtId="164" fontId="4" fillId="0" borderId="0" xfId="1" applyNumberFormat="1" applyFont="1" applyFill="1" applyBorder="1" applyAlignment="1" applyProtection="1">
      <alignment horizontal="right"/>
    </xf>
    <xf numFmtId="14" fontId="0" fillId="2" borderId="0" xfId="0" applyNumberFormat="1" applyFont="1" applyFill="1"/>
    <xf numFmtId="14" fontId="0" fillId="0" borderId="0" xfId="0" applyNumberFormat="1" applyFont="1" applyFill="1" applyBorder="1"/>
    <xf numFmtId="14" fontId="0" fillId="0" borderId="0" xfId="0" applyNumberFormat="1" applyFont="1" applyFill="1" applyBorder="1" applyAlignment="1">
      <alignment horizontal="right"/>
    </xf>
    <xf numFmtId="165" fontId="2" fillId="0" borderId="0" xfId="0" applyNumberFormat="1" applyFont="1" applyFill="1" applyBorder="1" applyAlignment="1">
      <alignment horizontal="right"/>
    </xf>
    <xf numFmtId="165" fontId="9" fillId="0" borderId="0" xfId="0" applyNumberFormat="1" applyFont="1" applyFill="1" applyBorder="1" applyAlignment="1">
      <alignment horizontal="right"/>
    </xf>
    <xf numFmtId="0" fontId="2" fillId="0" borderId="0" xfId="0" applyFont="1" applyFill="1" applyBorder="1" applyAlignment="1">
      <alignment horizontal="right"/>
    </xf>
    <xf numFmtId="165" fontId="8" fillId="0" borderId="0" xfId="0" applyNumberFormat="1" applyFont="1" applyFill="1" applyBorder="1" applyAlignment="1">
      <alignment horizontal="right"/>
    </xf>
    <xf numFmtId="165" fontId="2" fillId="0" borderId="0" xfId="0" applyNumberFormat="1" applyFont="1" applyFill="1" applyBorder="1"/>
    <xf numFmtId="165" fontId="9" fillId="0" borderId="0" xfId="0" applyNumberFormat="1" applyFont="1" applyFill="1" applyBorder="1"/>
    <xf numFmtId="165" fontId="8" fillId="0" borderId="0" xfId="0" applyNumberFormat="1" applyFont="1" applyFill="1" applyBorder="1"/>
    <xf numFmtId="164" fontId="2" fillId="0" borderId="0" xfId="0" applyNumberFormat="1" applyFont="1" applyFill="1" applyBorder="1" applyAlignment="1">
      <alignment horizontal="right"/>
    </xf>
    <xf numFmtId="164" fontId="9" fillId="0" borderId="0" xfId="1" applyNumberFormat="1" applyFont="1" applyFill="1" applyBorder="1" applyAlignment="1">
      <alignment horizontal="right"/>
    </xf>
    <xf numFmtId="164" fontId="9" fillId="0" borderId="0" xfId="1" applyNumberFormat="1" applyFont="1" applyFill="1" applyBorder="1" applyAlignment="1">
      <alignment vertical="center"/>
    </xf>
    <xf numFmtId="164" fontId="8" fillId="0" borderId="0" xfId="1" applyNumberFormat="1" applyFont="1" applyFill="1" applyBorder="1" applyAlignment="1">
      <alignment vertical="center"/>
    </xf>
    <xf numFmtId="164" fontId="9" fillId="0" borderId="0" xfId="1" applyNumberFormat="1" applyFont="1" applyFill="1" applyBorder="1" applyAlignment="1" applyProtection="1">
      <alignment vertical="center"/>
    </xf>
    <xf numFmtId="164" fontId="8" fillId="0" borderId="0" xfId="1" applyNumberFormat="1" applyFont="1" applyFill="1" applyBorder="1" applyAlignment="1" applyProtection="1">
      <alignment vertical="center"/>
    </xf>
    <xf numFmtId="164" fontId="9" fillId="0" borderId="0" xfId="1" applyNumberFormat="1" applyFont="1" applyFill="1" applyBorder="1" applyAlignment="1">
      <alignment horizontal="right" vertical="center"/>
    </xf>
    <xf numFmtId="164" fontId="8" fillId="0" borderId="0" xfId="1" applyNumberFormat="1" applyFont="1" applyFill="1" applyBorder="1" applyAlignment="1">
      <alignment horizontal="right" vertical="center"/>
    </xf>
    <xf numFmtId="164" fontId="9" fillId="0" borderId="0" xfId="1" applyNumberFormat="1" applyFont="1" applyFill="1" applyBorder="1" applyAlignment="1" applyProtection="1">
      <alignment horizontal="right" vertical="center"/>
    </xf>
    <xf numFmtId="164" fontId="8" fillId="0" borderId="0" xfId="1" applyNumberFormat="1" applyFont="1" applyFill="1" applyBorder="1" applyAlignment="1" applyProtection="1">
      <alignment horizontal="right" vertical="center"/>
    </xf>
    <xf numFmtId="164" fontId="8" fillId="0" borderId="0" xfId="1" applyNumberFormat="1" applyFont="1" applyFill="1" applyBorder="1" applyAlignment="1" applyProtection="1">
      <alignment horizontal="right"/>
    </xf>
    <xf numFmtId="14" fontId="7" fillId="4" borderId="0" xfId="0" applyNumberFormat="1" applyFont="1" applyFill="1" applyAlignment="1">
      <alignment horizontal="left"/>
    </xf>
    <xf numFmtId="0" fontId="7" fillId="4" borderId="2" xfId="0" applyFont="1" applyFill="1" applyBorder="1" applyAlignment="1">
      <alignment horizontal="left"/>
    </xf>
    <xf numFmtId="0" fontId="0" fillId="0" borderId="0" xfId="0" applyAlignment="1">
      <alignment horizontal="left"/>
    </xf>
  </cellXfs>
  <cellStyles count="2">
    <cellStyle name="Normal" xfId="0" builtinId="0"/>
    <cellStyle name="Normal 2" xfId="1" xr:uid="{E578F81C-82B2-4481-B24D-4FC483B498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C8731-9DF7-495B-ABAE-5BC6E9E124C6}">
  <dimension ref="A1:AC226"/>
  <sheetViews>
    <sheetView zoomScale="81" zoomScaleNormal="81" workbookViewId="0"/>
  </sheetViews>
  <sheetFormatPr defaultRowHeight="14.4" x14ac:dyDescent="0.3"/>
  <cols>
    <col min="1" max="1" width="10.5546875" style="43" bestFit="1" customWidth="1"/>
    <col min="2" max="2" width="22.33203125" bestFit="1" customWidth="1"/>
    <col min="3" max="3" width="8.6640625" bestFit="1" customWidth="1"/>
    <col min="4" max="4" width="18.77734375" bestFit="1" customWidth="1"/>
    <col min="5" max="5" width="19.88671875" bestFit="1" customWidth="1"/>
    <col min="6" max="6" width="19.77734375" bestFit="1" customWidth="1"/>
    <col min="7" max="7" width="21" bestFit="1" customWidth="1"/>
    <col min="8" max="8" width="18.21875" bestFit="1" customWidth="1"/>
    <col min="9" max="9" width="15.109375" bestFit="1" customWidth="1"/>
    <col min="10" max="10" width="18.21875" bestFit="1" customWidth="1"/>
    <col min="11" max="13" width="15.88671875" bestFit="1" customWidth="1"/>
    <col min="14" max="14" width="11.44140625" bestFit="1" customWidth="1"/>
    <col min="15" max="15" width="9" bestFit="1" customWidth="1"/>
    <col min="17" max="17" width="10.33203125" bestFit="1" customWidth="1"/>
    <col min="18" max="18" width="18.77734375" bestFit="1" customWidth="1"/>
    <col min="19" max="19" width="19.88671875" bestFit="1" customWidth="1"/>
    <col min="20" max="20" width="20.21875" bestFit="1" customWidth="1"/>
    <col min="21" max="21" width="21" bestFit="1" customWidth="1"/>
    <col min="22" max="22" width="18.21875" bestFit="1" customWidth="1"/>
    <col min="23" max="23" width="15.109375" bestFit="1" customWidth="1"/>
    <col min="24" max="24" width="27.6640625" bestFit="1" customWidth="1"/>
    <col min="25" max="27" width="15.88671875" bestFit="1" customWidth="1"/>
    <col min="28" max="28" width="11.44140625" bestFit="1" customWidth="1"/>
    <col min="29" max="29" width="9" bestFit="1" customWidth="1"/>
  </cols>
  <sheetData>
    <row r="1" spans="1:29" s="20" customFormat="1" ht="31.2" x14ac:dyDescent="0.3">
      <c r="A1" s="41" t="s">
        <v>57</v>
      </c>
      <c r="B1" s="21" t="s">
        <v>56</v>
      </c>
      <c r="C1" s="21" t="s">
        <v>54</v>
      </c>
      <c r="D1" s="21" t="s">
        <v>41</v>
      </c>
      <c r="E1" s="21" t="s">
        <v>40</v>
      </c>
      <c r="F1" s="21" t="s">
        <v>42</v>
      </c>
      <c r="G1" s="21" t="s">
        <v>43</v>
      </c>
      <c r="H1" s="21" t="s">
        <v>44</v>
      </c>
      <c r="I1" s="21" t="s">
        <v>45</v>
      </c>
      <c r="J1" s="22" t="s">
        <v>55</v>
      </c>
      <c r="K1" s="21" t="s">
        <v>47</v>
      </c>
      <c r="L1" s="21" t="s">
        <v>48</v>
      </c>
      <c r="M1" s="21" t="s">
        <v>49</v>
      </c>
      <c r="N1" s="21" t="s">
        <v>50</v>
      </c>
      <c r="O1" s="21" t="s">
        <v>51</v>
      </c>
      <c r="P1" s="21"/>
      <c r="Q1" s="21" t="s">
        <v>52</v>
      </c>
      <c r="R1" s="21" t="s">
        <v>41</v>
      </c>
      <c r="S1" s="21" t="s">
        <v>40</v>
      </c>
      <c r="T1" s="21" t="s">
        <v>53</v>
      </c>
      <c r="U1" s="21" t="s">
        <v>43</v>
      </c>
      <c r="V1" s="21" t="s">
        <v>44</v>
      </c>
      <c r="W1" s="21" t="s">
        <v>45</v>
      </c>
      <c r="X1" s="21" t="s">
        <v>46</v>
      </c>
      <c r="Y1" s="21" t="s">
        <v>47</v>
      </c>
      <c r="Z1" s="21" t="s">
        <v>48</v>
      </c>
      <c r="AA1" s="21" t="s">
        <v>49</v>
      </c>
      <c r="AB1" s="21" t="s">
        <v>50</v>
      </c>
      <c r="AC1" s="21" t="s">
        <v>51</v>
      </c>
    </row>
    <row r="2" spans="1:29" s="1" customFormat="1" ht="13.8" x14ac:dyDescent="0.3">
      <c r="A2" s="39">
        <v>41305</v>
      </c>
      <c r="B2" s="14">
        <f>C2+Q2</f>
        <v>740062</v>
      </c>
      <c r="C2" s="14">
        <f>SUM(D2:E2)</f>
        <v>368092</v>
      </c>
      <c r="D2" s="25">
        <v>43812</v>
      </c>
      <c r="E2" s="25">
        <v>324280</v>
      </c>
      <c r="F2" s="25">
        <v>221671</v>
      </c>
      <c r="G2" s="25">
        <v>146421</v>
      </c>
      <c r="H2" s="25">
        <v>24924</v>
      </c>
      <c r="I2" s="25">
        <v>343168</v>
      </c>
      <c r="J2" s="25">
        <v>20986</v>
      </c>
      <c r="K2" s="25">
        <v>91389</v>
      </c>
      <c r="L2" s="25">
        <v>72262</v>
      </c>
      <c r="M2" s="25">
        <v>77207</v>
      </c>
      <c r="N2" s="25">
        <v>75974</v>
      </c>
      <c r="O2" s="25">
        <v>30274</v>
      </c>
      <c r="P2" s="26"/>
      <c r="Q2" s="15">
        <f>SUM(R2:S2)</f>
        <v>371970</v>
      </c>
      <c r="R2" s="25">
        <v>49412</v>
      </c>
      <c r="S2" s="25">
        <v>322558</v>
      </c>
      <c r="T2" s="25">
        <v>211399</v>
      </c>
      <c r="U2" s="25">
        <v>160571</v>
      </c>
      <c r="V2" s="25">
        <v>35842</v>
      </c>
      <c r="W2" s="25">
        <v>336128</v>
      </c>
      <c r="X2" s="25">
        <v>16263</v>
      </c>
      <c r="Y2" s="25">
        <v>66925</v>
      </c>
      <c r="Z2" s="25">
        <v>50899</v>
      </c>
      <c r="AA2" s="25">
        <v>78154</v>
      </c>
      <c r="AB2" s="25">
        <v>97629</v>
      </c>
      <c r="AC2" s="25">
        <v>62100</v>
      </c>
    </row>
    <row r="3" spans="1:29" s="1" customFormat="1" ht="13.8" x14ac:dyDescent="0.3">
      <c r="A3" s="39">
        <v>41333</v>
      </c>
      <c r="B3" s="14">
        <f t="shared" ref="B3:B66" si="0">C3+Q3</f>
        <v>739611</v>
      </c>
      <c r="C3" s="14">
        <f t="shared" ref="C3:C66" si="1">SUM(D3:E3)</f>
        <v>368906</v>
      </c>
      <c r="D3" s="25">
        <v>43091</v>
      </c>
      <c r="E3" s="25">
        <v>325815</v>
      </c>
      <c r="F3" s="25">
        <v>218170</v>
      </c>
      <c r="G3" s="25">
        <v>150736</v>
      </c>
      <c r="H3" s="25">
        <v>24751</v>
      </c>
      <c r="I3" s="25">
        <v>344155</v>
      </c>
      <c r="J3" s="25">
        <v>21722</v>
      </c>
      <c r="K3" s="25">
        <v>92774</v>
      </c>
      <c r="L3" s="25">
        <v>72421</v>
      </c>
      <c r="M3" s="25">
        <v>76754</v>
      </c>
      <c r="N3" s="25">
        <v>75392</v>
      </c>
      <c r="O3" s="25">
        <v>29843</v>
      </c>
      <c r="P3" s="26"/>
      <c r="Q3" s="15">
        <f t="shared" ref="Q3:Q66" si="2">SUM(R3:S3)</f>
        <v>370705</v>
      </c>
      <c r="R3" s="25">
        <v>48709</v>
      </c>
      <c r="S3" s="25">
        <v>321996</v>
      </c>
      <c r="T3" s="25">
        <v>208313</v>
      </c>
      <c r="U3" s="25">
        <v>162392</v>
      </c>
      <c r="V3" s="25">
        <v>35547</v>
      </c>
      <c r="W3" s="25">
        <v>335158</v>
      </c>
      <c r="X3" s="25">
        <v>16926</v>
      </c>
      <c r="Y3" s="25">
        <v>67635</v>
      </c>
      <c r="Z3" s="25">
        <v>50918</v>
      </c>
      <c r="AA3" s="25">
        <v>77535</v>
      </c>
      <c r="AB3" s="25">
        <v>96671</v>
      </c>
      <c r="AC3" s="25">
        <v>61020</v>
      </c>
    </row>
    <row r="4" spans="1:29" s="1" customFormat="1" ht="13.8" x14ac:dyDescent="0.3">
      <c r="A4" s="39">
        <v>41364</v>
      </c>
      <c r="B4" s="14">
        <f t="shared" si="0"/>
        <v>734448</v>
      </c>
      <c r="C4" s="14">
        <f t="shared" si="1"/>
        <v>366274</v>
      </c>
      <c r="D4" s="25">
        <v>42084</v>
      </c>
      <c r="E4" s="25">
        <v>324190</v>
      </c>
      <c r="F4" s="25">
        <v>212807</v>
      </c>
      <c r="G4" s="25">
        <v>153467</v>
      </c>
      <c r="H4" s="25">
        <v>24850</v>
      </c>
      <c r="I4" s="25">
        <v>341424</v>
      </c>
      <c r="J4" s="25">
        <v>22254</v>
      </c>
      <c r="K4" s="25">
        <v>93228</v>
      </c>
      <c r="L4" s="25">
        <v>71786</v>
      </c>
      <c r="M4" s="25">
        <v>75917</v>
      </c>
      <c r="N4" s="25">
        <v>74004</v>
      </c>
      <c r="O4" s="25">
        <v>29085</v>
      </c>
      <c r="P4" s="26"/>
      <c r="Q4" s="15">
        <f t="shared" si="2"/>
        <v>368174</v>
      </c>
      <c r="R4" s="25">
        <v>47420</v>
      </c>
      <c r="S4" s="25">
        <v>320754</v>
      </c>
      <c r="T4" s="25">
        <v>205129</v>
      </c>
      <c r="U4" s="25">
        <v>163045</v>
      </c>
      <c r="V4" s="25">
        <v>35812</v>
      </c>
      <c r="W4" s="25">
        <v>332362</v>
      </c>
      <c r="X4" s="25">
        <v>17620</v>
      </c>
      <c r="Y4" s="25">
        <v>68310</v>
      </c>
      <c r="Z4" s="25">
        <v>51134</v>
      </c>
      <c r="AA4" s="25">
        <v>76916</v>
      </c>
      <c r="AB4" s="25">
        <v>94903</v>
      </c>
      <c r="AC4" s="25">
        <v>59291</v>
      </c>
    </row>
    <row r="5" spans="1:29" s="1" customFormat="1" ht="13.8" x14ac:dyDescent="0.3">
      <c r="A5" s="39">
        <v>41394</v>
      </c>
      <c r="B5" s="14">
        <f t="shared" si="0"/>
        <v>728512</v>
      </c>
      <c r="C5" s="14">
        <f t="shared" si="1"/>
        <v>363004</v>
      </c>
      <c r="D5" s="25">
        <v>42067</v>
      </c>
      <c r="E5" s="25">
        <v>320937</v>
      </c>
      <c r="F5" s="25">
        <v>207396</v>
      </c>
      <c r="G5" s="25">
        <v>155608</v>
      </c>
      <c r="H5" s="25">
        <v>25046</v>
      </c>
      <c r="I5" s="25">
        <v>337958</v>
      </c>
      <c r="J5" s="25">
        <v>21946</v>
      </c>
      <c r="K5" s="25">
        <v>92285</v>
      </c>
      <c r="L5" s="25">
        <v>70701</v>
      </c>
      <c r="M5" s="25">
        <v>74995</v>
      </c>
      <c r="N5" s="25">
        <v>73947</v>
      </c>
      <c r="O5" s="25">
        <v>29130</v>
      </c>
      <c r="P5" s="26"/>
      <c r="Q5" s="15">
        <f t="shared" si="2"/>
        <v>365508</v>
      </c>
      <c r="R5" s="25">
        <v>47019</v>
      </c>
      <c r="S5" s="25">
        <v>318489</v>
      </c>
      <c r="T5" s="25">
        <v>201575</v>
      </c>
      <c r="U5" s="25">
        <v>163933</v>
      </c>
      <c r="V5" s="25">
        <v>35585</v>
      </c>
      <c r="W5" s="25">
        <v>329923</v>
      </c>
      <c r="X5" s="25">
        <v>17233</v>
      </c>
      <c r="Y5" s="25">
        <v>67686</v>
      </c>
      <c r="Z5" s="25">
        <v>50634</v>
      </c>
      <c r="AA5" s="25">
        <v>76266</v>
      </c>
      <c r="AB5" s="25">
        <v>94861</v>
      </c>
      <c r="AC5" s="25">
        <v>58828</v>
      </c>
    </row>
    <row r="6" spans="1:29" s="1" customFormat="1" ht="13.8" x14ac:dyDescent="0.3">
      <c r="A6" s="39">
        <v>41424</v>
      </c>
      <c r="B6" s="14">
        <f t="shared" si="0"/>
        <v>703205</v>
      </c>
      <c r="C6" s="14">
        <f t="shared" si="1"/>
        <v>350179</v>
      </c>
      <c r="D6" s="25">
        <v>39989</v>
      </c>
      <c r="E6" s="25">
        <v>310190</v>
      </c>
      <c r="F6" s="25">
        <v>195609</v>
      </c>
      <c r="G6" s="25">
        <v>154570</v>
      </c>
      <c r="H6" s="25">
        <v>24224</v>
      </c>
      <c r="I6" s="25">
        <v>325955</v>
      </c>
      <c r="J6" s="25">
        <v>21148</v>
      </c>
      <c r="K6" s="25">
        <v>89369</v>
      </c>
      <c r="L6" s="25">
        <v>68258</v>
      </c>
      <c r="M6" s="25">
        <v>72218</v>
      </c>
      <c r="N6" s="25">
        <v>70893</v>
      </c>
      <c r="O6" s="25">
        <v>28293</v>
      </c>
      <c r="P6" s="26"/>
      <c r="Q6" s="15">
        <f t="shared" si="2"/>
        <v>353026</v>
      </c>
      <c r="R6" s="25">
        <v>44911</v>
      </c>
      <c r="S6" s="25">
        <v>308115</v>
      </c>
      <c r="T6" s="25">
        <v>191845</v>
      </c>
      <c r="U6" s="25">
        <v>161181</v>
      </c>
      <c r="V6" s="25">
        <v>34162</v>
      </c>
      <c r="W6" s="25">
        <v>318864</v>
      </c>
      <c r="X6" s="25">
        <v>16571</v>
      </c>
      <c r="Y6" s="25">
        <v>65633</v>
      </c>
      <c r="Z6" s="25">
        <v>49066</v>
      </c>
      <c r="AA6" s="25">
        <v>73537</v>
      </c>
      <c r="AB6" s="25">
        <v>91421</v>
      </c>
      <c r="AC6" s="25">
        <v>56798</v>
      </c>
    </row>
    <row r="7" spans="1:29" s="1" customFormat="1" ht="13.8" x14ac:dyDescent="0.3">
      <c r="A7" s="39">
        <v>41455</v>
      </c>
      <c r="B7" s="14">
        <f t="shared" si="0"/>
        <v>689933</v>
      </c>
      <c r="C7" s="14">
        <f t="shared" si="1"/>
        <v>339867</v>
      </c>
      <c r="D7" s="25">
        <v>38203</v>
      </c>
      <c r="E7" s="25">
        <v>301664</v>
      </c>
      <c r="F7" s="25">
        <v>185935</v>
      </c>
      <c r="G7" s="25">
        <v>153932</v>
      </c>
      <c r="H7" s="25">
        <v>23713</v>
      </c>
      <c r="I7" s="25">
        <v>316154</v>
      </c>
      <c r="J7" s="25">
        <v>20827</v>
      </c>
      <c r="K7" s="25">
        <v>87028</v>
      </c>
      <c r="L7" s="25">
        <v>65361</v>
      </c>
      <c r="M7" s="25">
        <v>69784</v>
      </c>
      <c r="N7" s="25">
        <v>68481</v>
      </c>
      <c r="O7" s="25">
        <v>28386</v>
      </c>
      <c r="P7" s="26"/>
      <c r="Q7" s="15">
        <f t="shared" si="2"/>
        <v>350066</v>
      </c>
      <c r="R7" s="25">
        <v>43428</v>
      </c>
      <c r="S7" s="25">
        <v>306638</v>
      </c>
      <c r="T7" s="25">
        <v>190041</v>
      </c>
      <c r="U7" s="25">
        <v>160025</v>
      </c>
      <c r="V7" s="25">
        <v>33352</v>
      </c>
      <c r="W7" s="25">
        <v>316714</v>
      </c>
      <c r="X7" s="25">
        <v>16460</v>
      </c>
      <c r="Y7" s="25">
        <v>65356</v>
      </c>
      <c r="Z7" s="25">
        <v>48251</v>
      </c>
      <c r="AA7" s="25">
        <v>72979</v>
      </c>
      <c r="AB7" s="25">
        <v>89818</v>
      </c>
      <c r="AC7" s="25">
        <v>57202</v>
      </c>
    </row>
    <row r="8" spans="1:29" s="1" customFormat="1" ht="13.8" x14ac:dyDescent="0.3">
      <c r="A8" s="39">
        <v>41485</v>
      </c>
      <c r="B8" s="14">
        <f t="shared" si="0"/>
        <v>688099</v>
      </c>
      <c r="C8" s="14">
        <f t="shared" si="1"/>
        <v>335718</v>
      </c>
      <c r="D8" s="25">
        <v>38180</v>
      </c>
      <c r="E8" s="25">
        <v>297538</v>
      </c>
      <c r="F8" s="25">
        <v>180711</v>
      </c>
      <c r="G8" s="25">
        <v>155007</v>
      </c>
      <c r="H8" s="25">
        <v>24362</v>
      </c>
      <c r="I8" s="25">
        <v>311356</v>
      </c>
      <c r="J8" s="25">
        <v>20263</v>
      </c>
      <c r="K8" s="25">
        <v>85464</v>
      </c>
      <c r="L8" s="25">
        <v>63694</v>
      </c>
      <c r="M8" s="25">
        <v>68097</v>
      </c>
      <c r="N8" s="25">
        <v>68099</v>
      </c>
      <c r="O8" s="25">
        <v>30101</v>
      </c>
      <c r="P8" s="26"/>
      <c r="Q8" s="15">
        <f t="shared" si="2"/>
        <v>352381</v>
      </c>
      <c r="R8" s="25">
        <v>44314</v>
      </c>
      <c r="S8" s="25">
        <v>308067</v>
      </c>
      <c r="T8" s="25">
        <v>189828</v>
      </c>
      <c r="U8" s="25">
        <v>162553</v>
      </c>
      <c r="V8" s="25">
        <v>34360</v>
      </c>
      <c r="W8" s="25">
        <v>318021</v>
      </c>
      <c r="X8" s="25">
        <v>16238</v>
      </c>
      <c r="Y8" s="25">
        <v>64572</v>
      </c>
      <c r="Z8" s="25">
        <v>47928</v>
      </c>
      <c r="AA8" s="25">
        <v>72038</v>
      </c>
      <c r="AB8" s="25">
        <v>90060</v>
      </c>
      <c r="AC8" s="25">
        <v>61545</v>
      </c>
    </row>
    <row r="9" spans="1:29" s="1" customFormat="1" ht="13.8" x14ac:dyDescent="0.3">
      <c r="A9" s="39">
        <v>41517</v>
      </c>
      <c r="B9" s="14">
        <f t="shared" si="0"/>
        <v>695065</v>
      </c>
      <c r="C9" s="14">
        <f t="shared" si="1"/>
        <v>334776</v>
      </c>
      <c r="D9" s="25">
        <v>38485</v>
      </c>
      <c r="E9" s="25">
        <v>296291</v>
      </c>
      <c r="F9" s="25">
        <v>179494</v>
      </c>
      <c r="G9" s="25">
        <v>155282</v>
      </c>
      <c r="H9" s="25">
        <v>25595</v>
      </c>
      <c r="I9" s="25">
        <v>309181</v>
      </c>
      <c r="J9" s="25">
        <v>20106</v>
      </c>
      <c r="K9" s="25">
        <v>84524</v>
      </c>
      <c r="L9" s="25">
        <v>63134</v>
      </c>
      <c r="M9" s="25">
        <v>67214</v>
      </c>
      <c r="N9" s="25">
        <v>68198</v>
      </c>
      <c r="O9" s="25">
        <v>31600</v>
      </c>
      <c r="P9" s="26"/>
      <c r="Q9" s="15">
        <f t="shared" si="2"/>
        <v>360289</v>
      </c>
      <c r="R9" s="25">
        <v>45994</v>
      </c>
      <c r="S9" s="25">
        <v>314295</v>
      </c>
      <c r="T9" s="25">
        <v>194540</v>
      </c>
      <c r="U9" s="25">
        <v>165749</v>
      </c>
      <c r="V9" s="25">
        <v>36382</v>
      </c>
      <c r="W9" s="25">
        <v>323907</v>
      </c>
      <c r="X9" s="25">
        <v>16195</v>
      </c>
      <c r="Y9" s="25">
        <v>64804</v>
      </c>
      <c r="Z9" s="25">
        <v>48425</v>
      </c>
      <c r="AA9" s="25">
        <v>72535</v>
      </c>
      <c r="AB9" s="25">
        <v>91816</v>
      </c>
      <c r="AC9" s="25">
        <v>66514</v>
      </c>
    </row>
    <row r="10" spans="1:29" s="1" customFormat="1" ht="13.8" x14ac:dyDescent="0.3">
      <c r="A10" s="39">
        <v>41547</v>
      </c>
      <c r="B10" s="14">
        <f t="shared" si="0"/>
        <v>697296</v>
      </c>
      <c r="C10" s="14">
        <f t="shared" si="1"/>
        <v>334727</v>
      </c>
      <c r="D10" s="25">
        <v>40367</v>
      </c>
      <c r="E10" s="25">
        <v>294360</v>
      </c>
      <c r="F10" s="25">
        <v>177511</v>
      </c>
      <c r="G10" s="25">
        <v>157216</v>
      </c>
      <c r="H10" s="25">
        <v>28338</v>
      </c>
      <c r="I10" s="25">
        <v>306389</v>
      </c>
      <c r="J10" s="25">
        <v>19973</v>
      </c>
      <c r="K10" s="25">
        <v>83441</v>
      </c>
      <c r="L10" s="25">
        <v>62400</v>
      </c>
      <c r="M10" s="25">
        <v>66903</v>
      </c>
      <c r="N10" s="25">
        <v>69117</v>
      </c>
      <c r="O10" s="25">
        <v>32893</v>
      </c>
      <c r="P10" s="26"/>
      <c r="Q10" s="15">
        <f t="shared" si="2"/>
        <v>362569</v>
      </c>
      <c r="R10" s="25">
        <v>49017</v>
      </c>
      <c r="S10" s="25">
        <v>313552</v>
      </c>
      <c r="T10" s="25">
        <v>192989</v>
      </c>
      <c r="U10" s="25">
        <v>169580</v>
      </c>
      <c r="V10" s="25">
        <v>40161</v>
      </c>
      <c r="W10" s="25">
        <v>322408</v>
      </c>
      <c r="X10" s="25">
        <v>16241</v>
      </c>
      <c r="Y10" s="25">
        <v>63768</v>
      </c>
      <c r="Z10" s="25">
        <v>47891</v>
      </c>
      <c r="AA10" s="25">
        <v>71514</v>
      </c>
      <c r="AB10" s="25">
        <v>92598</v>
      </c>
      <c r="AC10" s="25">
        <v>70557</v>
      </c>
    </row>
    <row r="11" spans="1:29" s="1" customFormat="1" ht="13.8" x14ac:dyDescent="0.3">
      <c r="A11" s="39">
        <v>41577</v>
      </c>
      <c r="B11" s="14">
        <f t="shared" si="0"/>
        <v>694904</v>
      </c>
      <c r="C11" s="14">
        <f t="shared" si="1"/>
        <v>335839</v>
      </c>
      <c r="D11" s="25">
        <v>41831</v>
      </c>
      <c r="E11" s="25">
        <v>294008</v>
      </c>
      <c r="F11" s="25">
        <v>179526</v>
      </c>
      <c r="G11" s="25">
        <v>156313</v>
      </c>
      <c r="H11" s="25">
        <v>29948</v>
      </c>
      <c r="I11" s="25">
        <v>305891</v>
      </c>
      <c r="J11" s="25">
        <v>20257</v>
      </c>
      <c r="K11" s="25">
        <v>83637</v>
      </c>
      <c r="L11" s="25">
        <v>62938</v>
      </c>
      <c r="M11" s="25">
        <v>66922</v>
      </c>
      <c r="N11" s="25">
        <v>69962</v>
      </c>
      <c r="O11" s="25">
        <v>32123</v>
      </c>
      <c r="P11" s="26"/>
      <c r="Q11" s="15">
        <f t="shared" si="2"/>
        <v>359065</v>
      </c>
      <c r="R11" s="25">
        <v>50746</v>
      </c>
      <c r="S11" s="25">
        <v>308319</v>
      </c>
      <c r="T11" s="25">
        <v>192285</v>
      </c>
      <c r="U11" s="25">
        <v>166780</v>
      </c>
      <c r="V11" s="25">
        <v>42205</v>
      </c>
      <c r="W11" s="25">
        <v>316860</v>
      </c>
      <c r="X11" s="25">
        <v>16672</v>
      </c>
      <c r="Y11" s="25">
        <v>63923</v>
      </c>
      <c r="Z11" s="25">
        <v>47835</v>
      </c>
      <c r="AA11" s="25">
        <v>71198</v>
      </c>
      <c r="AB11" s="25">
        <v>92621</v>
      </c>
      <c r="AC11" s="25">
        <v>66816</v>
      </c>
    </row>
    <row r="12" spans="1:29" s="1" customFormat="1" ht="13.8" x14ac:dyDescent="0.3">
      <c r="A12" s="39">
        <v>41608</v>
      </c>
      <c r="B12" s="14">
        <f t="shared" si="0"/>
        <v>692019</v>
      </c>
      <c r="C12" s="14">
        <f t="shared" si="1"/>
        <v>336599</v>
      </c>
      <c r="D12" s="25">
        <v>42749</v>
      </c>
      <c r="E12" s="25">
        <v>293850</v>
      </c>
      <c r="F12" s="25">
        <v>180006</v>
      </c>
      <c r="G12" s="25">
        <v>156593</v>
      </c>
      <c r="H12" s="25">
        <v>30625</v>
      </c>
      <c r="I12" s="25">
        <v>305974</v>
      </c>
      <c r="J12" s="25">
        <v>20334</v>
      </c>
      <c r="K12" s="25">
        <v>83749</v>
      </c>
      <c r="L12" s="25">
        <v>63227</v>
      </c>
      <c r="M12" s="25">
        <v>66985</v>
      </c>
      <c r="N12" s="25">
        <v>70799</v>
      </c>
      <c r="O12" s="25">
        <v>31505</v>
      </c>
      <c r="P12" s="26"/>
      <c r="Q12" s="15">
        <f t="shared" si="2"/>
        <v>355420</v>
      </c>
      <c r="R12" s="25">
        <v>50678</v>
      </c>
      <c r="S12" s="25">
        <v>304742</v>
      </c>
      <c r="T12" s="25">
        <v>190102</v>
      </c>
      <c r="U12" s="25">
        <v>165318</v>
      </c>
      <c r="V12" s="25">
        <v>42578</v>
      </c>
      <c r="W12" s="25">
        <v>312842</v>
      </c>
      <c r="X12" s="25">
        <v>17027</v>
      </c>
      <c r="Y12" s="25">
        <v>63884</v>
      </c>
      <c r="Z12" s="25">
        <v>47641</v>
      </c>
      <c r="AA12" s="25">
        <v>70288</v>
      </c>
      <c r="AB12" s="25">
        <v>92436</v>
      </c>
      <c r="AC12" s="25">
        <v>64144</v>
      </c>
    </row>
    <row r="13" spans="1:29" s="1" customFormat="1" ht="13.8" x14ac:dyDescent="0.3">
      <c r="A13" s="39">
        <v>41638</v>
      </c>
      <c r="B13" s="14">
        <f t="shared" si="0"/>
        <v>690535</v>
      </c>
      <c r="C13" s="14">
        <f t="shared" si="1"/>
        <v>337688</v>
      </c>
      <c r="D13" s="25">
        <v>41271</v>
      </c>
      <c r="E13" s="25">
        <v>296417</v>
      </c>
      <c r="F13" s="25">
        <v>179929</v>
      </c>
      <c r="G13" s="25">
        <v>157759</v>
      </c>
      <c r="H13" s="25">
        <v>29590</v>
      </c>
      <c r="I13" s="25">
        <v>308098</v>
      </c>
      <c r="J13" s="25">
        <v>20500</v>
      </c>
      <c r="K13" s="25">
        <v>84472</v>
      </c>
      <c r="L13" s="25">
        <v>63954</v>
      </c>
      <c r="M13" s="25">
        <v>67652</v>
      </c>
      <c r="N13" s="25">
        <v>70162</v>
      </c>
      <c r="O13" s="25">
        <v>30948</v>
      </c>
      <c r="P13" s="26"/>
      <c r="Q13" s="15">
        <f t="shared" si="2"/>
        <v>352847</v>
      </c>
      <c r="R13" s="25">
        <v>48225</v>
      </c>
      <c r="S13" s="25">
        <v>304622</v>
      </c>
      <c r="T13" s="25">
        <v>187621</v>
      </c>
      <c r="U13" s="25">
        <v>165226</v>
      </c>
      <c r="V13" s="25">
        <v>41103</v>
      </c>
      <c r="W13" s="25">
        <v>311744</v>
      </c>
      <c r="X13" s="25">
        <v>17308</v>
      </c>
      <c r="Y13" s="25">
        <v>64041</v>
      </c>
      <c r="Z13" s="25">
        <v>47461</v>
      </c>
      <c r="AA13" s="25">
        <v>70384</v>
      </c>
      <c r="AB13" s="25">
        <v>91192</v>
      </c>
      <c r="AC13" s="25">
        <v>62461</v>
      </c>
    </row>
    <row r="14" spans="1:29" s="1" customFormat="1" ht="13.8" x14ac:dyDescent="0.3">
      <c r="A14" s="42">
        <v>41670</v>
      </c>
      <c r="B14" s="14">
        <f t="shared" si="0"/>
        <v>705327</v>
      </c>
      <c r="C14" s="14">
        <f t="shared" si="1"/>
        <v>345764</v>
      </c>
      <c r="D14" s="25">
        <v>43618</v>
      </c>
      <c r="E14" s="25">
        <v>302146</v>
      </c>
      <c r="F14" s="25">
        <v>184450</v>
      </c>
      <c r="G14" s="25">
        <v>161314</v>
      </c>
      <c r="H14" s="25">
        <v>31191</v>
      </c>
      <c r="I14" s="25">
        <v>314573</v>
      </c>
      <c r="J14" s="25">
        <v>20719</v>
      </c>
      <c r="K14" s="25">
        <v>85545</v>
      </c>
      <c r="L14" s="25">
        <v>65664</v>
      </c>
      <c r="M14" s="25">
        <v>70022</v>
      </c>
      <c r="N14" s="25">
        <v>72351</v>
      </c>
      <c r="O14" s="25">
        <v>31463</v>
      </c>
      <c r="P14" s="26"/>
      <c r="Q14" s="15">
        <f t="shared" si="2"/>
        <v>359563</v>
      </c>
      <c r="R14" s="25">
        <v>49988</v>
      </c>
      <c r="S14" s="25">
        <v>309575</v>
      </c>
      <c r="T14" s="25">
        <v>190932</v>
      </c>
      <c r="U14" s="25">
        <v>168631</v>
      </c>
      <c r="V14" s="25">
        <v>42485</v>
      </c>
      <c r="W14" s="25">
        <v>317078</v>
      </c>
      <c r="X14" s="25">
        <v>17559</v>
      </c>
      <c r="Y14" s="25">
        <v>64330</v>
      </c>
      <c r="Z14" s="25">
        <v>48040</v>
      </c>
      <c r="AA14" s="25">
        <v>72100</v>
      </c>
      <c r="AB14" s="25">
        <v>94341</v>
      </c>
      <c r="AC14" s="25">
        <v>63193</v>
      </c>
    </row>
    <row r="15" spans="1:29" s="1" customFormat="1" ht="13.8" x14ac:dyDescent="0.3">
      <c r="A15" s="42">
        <v>41698</v>
      </c>
      <c r="B15" s="14">
        <f t="shared" si="0"/>
        <v>700954</v>
      </c>
      <c r="C15" s="14">
        <f t="shared" si="1"/>
        <v>345319</v>
      </c>
      <c r="D15" s="25">
        <v>44071</v>
      </c>
      <c r="E15" s="25">
        <v>301248</v>
      </c>
      <c r="F15" s="25">
        <v>182841</v>
      </c>
      <c r="G15" s="25">
        <v>162478</v>
      </c>
      <c r="H15" s="25">
        <v>31516</v>
      </c>
      <c r="I15" s="25">
        <v>313803</v>
      </c>
      <c r="J15" s="25">
        <v>20966</v>
      </c>
      <c r="K15" s="25">
        <v>85814</v>
      </c>
      <c r="L15" s="25">
        <v>65805</v>
      </c>
      <c r="M15" s="25">
        <v>70306</v>
      </c>
      <c r="N15" s="25">
        <v>71906</v>
      </c>
      <c r="O15" s="25">
        <v>30522</v>
      </c>
      <c r="P15" s="26"/>
      <c r="Q15" s="15">
        <f t="shared" si="2"/>
        <v>355635</v>
      </c>
      <c r="R15" s="25">
        <v>49235</v>
      </c>
      <c r="S15" s="25">
        <v>306400</v>
      </c>
      <c r="T15" s="25">
        <v>187213</v>
      </c>
      <c r="U15" s="25">
        <v>168422</v>
      </c>
      <c r="V15" s="25">
        <v>42040</v>
      </c>
      <c r="W15" s="25">
        <v>313595</v>
      </c>
      <c r="X15" s="25">
        <v>17662</v>
      </c>
      <c r="Y15" s="25">
        <v>64028</v>
      </c>
      <c r="Z15" s="25">
        <v>48040</v>
      </c>
      <c r="AA15" s="25">
        <v>71906</v>
      </c>
      <c r="AB15" s="25">
        <v>93300</v>
      </c>
      <c r="AC15" s="25">
        <v>60699</v>
      </c>
    </row>
    <row r="16" spans="1:29" s="1" customFormat="1" ht="13.8" x14ac:dyDescent="0.3">
      <c r="A16" s="42">
        <v>41729</v>
      </c>
      <c r="B16" s="14">
        <f t="shared" si="0"/>
        <v>689825</v>
      </c>
      <c r="C16" s="14">
        <f t="shared" si="1"/>
        <v>339137</v>
      </c>
      <c r="D16" s="25">
        <v>42889</v>
      </c>
      <c r="E16" s="25">
        <v>296248</v>
      </c>
      <c r="F16" s="25">
        <v>175466</v>
      </c>
      <c r="G16" s="25">
        <v>163671</v>
      </c>
      <c r="H16" s="25">
        <v>31349</v>
      </c>
      <c r="I16" s="25">
        <v>307788</v>
      </c>
      <c r="J16" s="25">
        <v>20664</v>
      </c>
      <c r="K16" s="25">
        <v>84928</v>
      </c>
      <c r="L16" s="25">
        <v>64523</v>
      </c>
      <c r="M16" s="25">
        <v>69241</v>
      </c>
      <c r="N16" s="25">
        <v>69825</v>
      </c>
      <c r="O16" s="25">
        <v>29956</v>
      </c>
      <c r="P16" s="26"/>
      <c r="Q16" s="15">
        <f t="shared" si="2"/>
        <v>350688</v>
      </c>
      <c r="R16" s="25">
        <v>48063</v>
      </c>
      <c r="S16" s="25">
        <v>302625</v>
      </c>
      <c r="T16" s="25">
        <v>181184</v>
      </c>
      <c r="U16" s="25">
        <v>169504</v>
      </c>
      <c r="V16" s="25">
        <v>41884</v>
      </c>
      <c r="W16" s="25">
        <v>308804</v>
      </c>
      <c r="X16" s="25">
        <v>17650</v>
      </c>
      <c r="Y16" s="25">
        <v>63781</v>
      </c>
      <c r="Z16" s="25">
        <v>47830</v>
      </c>
      <c r="AA16" s="25">
        <v>70839</v>
      </c>
      <c r="AB16" s="25">
        <v>91311</v>
      </c>
      <c r="AC16" s="25">
        <v>59277</v>
      </c>
    </row>
    <row r="17" spans="1:29" s="1" customFormat="1" ht="13.8" x14ac:dyDescent="0.3">
      <c r="A17" s="42">
        <v>41759</v>
      </c>
      <c r="B17" s="14">
        <f t="shared" si="0"/>
        <v>668023</v>
      </c>
      <c r="C17" s="14">
        <f t="shared" si="1"/>
        <v>328201</v>
      </c>
      <c r="D17" s="25">
        <v>39850</v>
      </c>
      <c r="E17" s="25">
        <v>288351</v>
      </c>
      <c r="F17" s="25">
        <v>167088</v>
      </c>
      <c r="G17" s="25">
        <v>161113</v>
      </c>
      <c r="H17" s="25">
        <v>29755</v>
      </c>
      <c r="I17" s="25">
        <v>298446</v>
      </c>
      <c r="J17" s="25">
        <v>20466</v>
      </c>
      <c r="K17" s="25">
        <v>83407</v>
      </c>
      <c r="L17" s="25">
        <v>62507</v>
      </c>
      <c r="M17" s="25">
        <v>66427</v>
      </c>
      <c r="N17" s="25">
        <v>66956</v>
      </c>
      <c r="O17" s="25">
        <v>28438</v>
      </c>
      <c r="P17" s="26"/>
      <c r="Q17" s="15">
        <f t="shared" si="2"/>
        <v>339822</v>
      </c>
      <c r="R17" s="25">
        <v>44513</v>
      </c>
      <c r="S17" s="25">
        <v>295309</v>
      </c>
      <c r="T17" s="25">
        <v>173227</v>
      </c>
      <c r="U17" s="25">
        <v>166595</v>
      </c>
      <c r="V17" s="25">
        <v>39647</v>
      </c>
      <c r="W17" s="25">
        <v>300175</v>
      </c>
      <c r="X17" s="25">
        <v>17434</v>
      </c>
      <c r="Y17" s="25">
        <v>62983</v>
      </c>
      <c r="Z17" s="25">
        <v>46806</v>
      </c>
      <c r="AA17" s="25">
        <v>68806</v>
      </c>
      <c r="AB17" s="25">
        <v>87444</v>
      </c>
      <c r="AC17" s="25">
        <v>56349</v>
      </c>
    </row>
    <row r="18" spans="1:29" s="1" customFormat="1" ht="13.8" x14ac:dyDescent="0.3">
      <c r="A18" s="42">
        <v>41790</v>
      </c>
      <c r="B18" s="14">
        <f t="shared" si="0"/>
        <v>636410</v>
      </c>
      <c r="C18" s="14">
        <f t="shared" si="1"/>
        <v>312699</v>
      </c>
      <c r="D18" s="25">
        <v>36097</v>
      </c>
      <c r="E18" s="25">
        <v>276602</v>
      </c>
      <c r="F18" s="25">
        <v>155826</v>
      </c>
      <c r="G18" s="25">
        <v>156873</v>
      </c>
      <c r="H18" s="25">
        <v>27715</v>
      </c>
      <c r="I18" s="25">
        <v>284984</v>
      </c>
      <c r="J18" s="25">
        <v>19853</v>
      </c>
      <c r="K18" s="25">
        <v>80536</v>
      </c>
      <c r="L18" s="25">
        <v>59675</v>
      </c>
      <c r="M18" s="25">
        <v>62983</v>
      </c>
      <c r="N18" s="25">
        <v>63181</v>
      </c>
      <c r="O18" s="25">
        <v>26471</v>
      </c>
      <c r="P18" s="26"/>
      <c r="Q18" s="15">
        <f t="shared" si="2"/>
        <v>323711</v>
      </c>
      <c r="R18" s="25">
        <v>40299</v>
      </c>
      <c r="S18" s="25">
        <v>283412</v>
      </c>
      <c r="T18" s="25">
        <v>162552</v>
      </c>
      <c r="U18" s="25">
        <v>161159</v>
      </c>
      <c r="V18" s="25">
        <v>36946</v>
      </c>
      <c r="W18" s="25">
        <v>286765</v>
      </c>
      <c r="X18" s="25">
        <v>17030</v>
      </c>
      <c r="Y18" s="25">
        <v>60981</v>
      </c>
      <c r="Z18" s="25">
        <v>44989</v>
      </c>
      <c r="AA18" s="25">
        <v>65526</v>
      </c>
      <c r="AB18" s="25">
        <v>82820</v>
      </c>
      <c r="AC18" s="25">
        <v>52365</v>
      </c>
    </row>
    <row r="19" spans="1:29" s="1" customFormat="1" ht="13.8" x14ac:dyDescent="0.3">
      <c r="A19" s="42">
        <v>41820</v>
      </c>
      <c r="B19" s="14">
        <f t="shared" si="0"/>
        <v>614982</v>
      </c>
      <c r="C19" s="14">
        <f t="shared" si="1"/>
        <v>298788</v>
      </c>
      <c r="D19" s="25">
        <v>33081</v>
      </c>
      <c r="E19" s="25">
        <v>265707</v>
      </c>
      <c r="F19" s="25">
        <v>145755</v>
      </c>
      <c r="G19" s="25">
        <v>153033</v>
      </c>
      <c r="H19" s="25">
        <v>25763</v>
      </c>
      <c r="I19" s="25">
        <v>273025</v>
      </c>
      <c r="J19" s="25">
        <v>17908</v>
      </c>
      <c r="K19" s="25">
        <v>77713</v>
      </c>
      <c r="L19" s="25">
        <v>56808</v>
      </c>
      <c r="M19" s="25">
        <v>59640</v>
      </c>
      <c r="N19" s="25">
        <v>59824</v>
      </c>
      <c r="O19" s="25">
        <v>25901</v>
      </c>
      <c r="P19" s="26"/>
      <c r="Q19" s="15">
        <f t="shared" si="2"/>
        <v>316194</v>
      </c>
      <c r="R19" s="25">
        <v>37236</v>
      </c>
      <c r="S19" s="25">
        <v>278958</v>
      </c>
      <c r="T19" s="25">
        <v>157812</v>
      </c>
      <c r="U19" s="25">
        <v>158382</v>
      </c>
      <c r="V19" s="25">
        <v>34643</v>
      </c>
      <c r="W19" s="25">
        <v>281551</v>
      </c>
      <c r="X19" s="25">
        <v>16335</v>
      </c>
      <c r="Y19" s="25">
        <v>59910</v>
      </c>
      <c r="Z19" s="25">
        <v>44013</v>
      </c>
      <c r="AA19" s="25">
        <v>64349</v>
      </c>
      <c r="AB19" s="25">
        <v>79947</v>
      </c>
      <c r="AC19" s="25">
        <v>51640</v>
      </c>
    </row>
    <row r="20" spans="1:29" s="1" customFormat="1" ht="13.8" x14ac:dyDescent="0.3">
      <c r="A20" s="42">
        <v>41851</v>
      </c>
      <c r="B20" s="14">
        <f t="shared" si="0"/>
        <v>611696</v>
      </c>
      <c r="C20" s="14">
        <f t="shared" si="1"/>
        <v>292940</v>
      </c>
      <c r="D20" s="25">
        <v>32399</v>
      </c>
      <c r="E20" s="25">
        <v>260541</v>
      </c>
      <c r="F20" s="25">
        <v>141953</v>
      </c>
      <c r="G20" s="25">
        <v>150987</v>
      </c>
      <c r="H20" s="25">
        <v>26013</v>
      </c>
      <c r="I20" s="25">
        <v>266927</v>
      </c>
      <c r="J20" s="25">
        <v>18458</v>
      </c>
      <c r="K20" s="25">
        <v>75920</v>
      </c>
      <c r="L20" s="25">
        <v>54946</v>
      </c>
      <c r="M20" s="25">
        <v>57693</v>
      </c>
      <c r="N20" s="25">
        <v>59029</v>
      </c>
      <c r="O20" s="25">
        <v>26894</v>
      </c>
      <c r="P20" s="26"/>
      <c r="Q20" s="15">
        <f t="shared" si="2"/>
        <v>318756</v>
      </c>
      <c r="R20" s="25">
        <v>37574</v>
      </c>
      <c r="S20" s="25">
        <v>281182</v>
      </c>
      <c r="T20" s="25">
        <v>159694</v>
      </c>
      <c r="U20" s="25">
        <v>159062</v>
      </c>
      <c r="V20" s="25">
        <v>35506</v>
      </c>
      <c r="W20" s="25">
        <v>283250</v>
      </c>
      <c r="X20" s="25">
        <v>16245</v>
      </c>
      <c r="Y20" s="25">
        <v>59305</v>
      </c>
      <c r="Z20" s="25">
        <v>43557</v>
      </c>
      <c r="AA20" s="25">
        <v>63889</v>
      </c>
      <c r="AB20" s="25">
        <v>80529</v>
      </c>
      <c r="AC20" s="25">
        <v>55231</v>
      </c>
    </row>
    <row r="21" spans="1:29" s="1" customFormat="1" ht="13.8" x14ac:dyDescent="0.3">
      <c r="A21" s="42">
        <v>41882</v>
      </c>
      <c r="B21" s="14">
        <f t="shared" si="0"/>
        <v>624230</v>
      </c>
      <c r="C21" s="14">
        <f t="shared" si="1"/>
        <v>296397</v>
      </c>
      <c r="D21" s="25">
        <v>33649</v>
      </c>
      <c r="E21" s="25">
        <v>262748</v>
      </c>
      <c r="F21" s="25">
        <v>144691</v>
      </c>
      <c r="G21" s="25">
        <v>151706</v>
      </c>
      <c r="H21" s="25">
        <v>27724</v>
      </c>
      <c r="I21" s="25">
        <v>268673</v>
      </c>
      <c r="J21" s="25">
        <v>18497</v>
      </c>
      <c r="K21" s="25">
        <v>76260</v>
      </c>
      <c r="L21" s="25">
        <v>55157</v>
      </c>
      <c r="M21" s="25">
        <v>57660</v>
      </c>
      <c r="N21" s="25">
        <v>60516</v>
      </c>
      <c r="O21" s="25">
        <v>28307</v>
      </c>
      <c r="P21" s="26"/>
      <c r="Q21" s="15">
        <f t="shared" si="2"/>
        <v>327833</v>
      </c>
      <c r="R21" s="25">
        <v>39920</v>
      </c>
      <c r="S21" s="25">
        <v>287913</v>
      </c>
      <c r="T21" s="25">
        <v>165061</v>
      </c>
      <c r="U21" s="25">
        <v>162772</v>
      </c>
      <c r="V21" s="25">
        <v>38345</v>
      </c>
      <c r="W21" s="25">
        <v>289488</v>
      </c>
      <c r="X21" s="25">
        <v>16448</v>
      </c>
      <c r="Y21" s="25">
        <v>59792</v>
      </c>
      <c r="Z21" s="25">
        <v>44237</v>
      </c>
      <c r="AA21" s="25">
        <v>65237</v>
      </c>
      <c r="AB21" s="25">
        <v>82817</v>
      </c>
      <c r="AC21" s="25">
        <v>59302</v>
      </c>
    </row>
    <row r="22" spans="1:29" s="1" customFormat="1" ht="13.8" x14ac:dyDescent="0.3">
      <c r="A22" s="42">
        <v>41912</v>
      </c>
      <c r="B22" s="14">
        <f t="shared" si="0"/>
        <v>616622</v>
      </c>
      <c r="C22" s="14">
        <f t="shared" si="1"/>
        <v>293297</v>
      </c>
      <c r="D22" s="25">
        <v>35273</v>
      </c>
      <c r="E22" s="25">
        <v>258024</v>
      </c>
      <c r="F22" s="25">
        <v>143610</v>
      </c>
      <c r="G22" s="25">
        <v>149687</v>
      </c>
      <c r="H22" s="25">
        <v>29423</v>
      </c>
      <c r="I22" s="25">
        <v>263874</v>
      </c>
      <c r="J22" s="25">
        <v>18096</v>
      </c>
      <c r="K22" s="25">
        <v>74316</v>
      </c>
      <c r="L22" s="25">
        <v>53687</v>
      </c>
      <c r="M22" s="25">
        <v>56494</v>
      </c>
      <c r="N22" s="25">
        <v>61471</v>
      </c>
      <c r="O22" s="25">
        <v>29233</v>
      </c>
      <c r="P22" s="26"/>
      <c r="Q22" s="15">
        <f t="shared" si="2"/>
        <v>323325</v>
      </c>
      <c r="R22" s="25">
        <v>42201</v>
      </c>
      <c r="S22" s="25">
        <v>281124</v>
      </c>
      <c r="T22" s="25">
        <v>161103</v>
      </c>
      <c r="U22" s="25">
        <v>162222</v>
      </c>
      <c r="V22" s="25">
        <v>40368</v>
      </c>
      <c r="W22" s="25">
        <v>282957</v>
      </c>
      <c r="X22" s="25">
        <v>16072</v>
      </c>
      <c r="Y22" s="25">
        <v>57633</v>
      </c>
      <c r="Z22" s="25">
        <v>42493</v>
      </c>
      <c r="AA22" s="25">
        <v>62515</v>
      </c>
      <c r="AB22" s="25">
        <v>82788</v>
      </c>
      <c r="AC22" s="25">
        <v>61824</v>
      </c>
    </row>
    <row r="23" spans="1:29" s="1" customFormat="1" ht="13.8" x14ac:dyDescent="0.3">
      <c r="A23" s="42">
        <v>41942</v>
      </c>
      <c r="B23" s="14">
        <f t="shared" si="0"/>
        <v>605516</v>
      </c>
      <c r="C23" s="14">
        <f t="shared" si="1"/>
        <v>291147</v>
      </c>
      <c r="D23" s="25">
        <v>35821</v>
      </c>
      <c r="E23" s="25">
        <v>255326</v>
      </c>
      <c r="F23" s="25">
        <v>144249</v>
      </c>
      <c r="G23" s="25">
        <v>146898</v>
      </c>
      <c r="H23" s="25">
        <v>29575</v>
      </c>
      <c r="I23" s="25">
        <v>261572</v>
      </c>
      <c r="J23" s="25">
        <v>17803</v>
      </c>
      <c r="K23" s="25">
        <v>73634</v>
      </c>
      <c r="L23" s="25">
        <v>53537</v>
      </c>
      <c r="M23" s="25">
        <v>56239</v>
      </c>
      <c r="N23" s="25">
        <v>61772</v>
      </c>
      <c r="O23" s="25">
        <v>28162</v>
      </c>
      <c r="P23" s="26"/>
      <c r="Q23" s="15">
        <f t="shared" si="2"/>
        <v>314369</v>
      </c>
      <c r="R23" s="25">
        <v>42736</v>
      </c>
      <c r="S23" s="25">
        <v>271633</v>
      </c>
      <c r="T23" s="25">
        <v>156619</v>
      </c>
      <c r="U23" s="25">
        <v>157750</v>
      </c>
      <c r="V23" s="25">
        <v>40348</v>
      </c>
      <c r="W23" s="25">
        <v>274021</v>
      </c>
      <c r="X23" s="25">
        <v>16047</v>
      </c>
      <c r="Y23" s="25">
        <v>57018</v>
      </c>
      <c r="Z23" s="25">
        <v>42189</v>
      </c>
      <c r="AA23" s="25">
        <v>60680</v>
      </c>
      <c r="AB23" s="25">
        <v>81723</v>
      </c>
      <c r="AC23" s="25">
        <v>56712</v>
      </c>
    </row>
    <row r="24" spans="1:29" s="1" customFormat="1" ht="13.8" x14ac:dyDescent="0.3">
      <c r="A24" s="42">
        <v>41973</v>
      </c>
      <c r="B24" s="14">
        <f t="shared" si="0"/>
        <v>598083</v>
      </c>
      <c r="C24" s="14">
        <f t="shared" si="1"/>
        <v>289668</v>
      </c>
      <c r="D24" s="25">
        <v>35457</v>
      </c>
      <c r="E24" s="25">
        <v>254211</v>
      </c>
      <c r="F24" s="25">
        <v>145957</v>
      </c>
      <c r="G24" s="25">
        <v>143711</v>
      </c>
      <c r="H24" s="25">
        <v>28754</v>
      </c>
      <c r="I24" s="25">
        <v>260914</v>
      </c>
      <c r="J24" s="25">
        <v>17785</v>
      </c>
      <c r="K24" s="25">
        <v>73270</v>
      </c>
      <c r="L24" s="25">
        <v>53728</v>
      </c>
      <c r="M24" s="25">
        <v>56350</v>
      </c>
      <c r="N24" s="25">
        <v>61586</v>
      </c>
      <c r="O24" s="25">
        <v>26949</v>
      </c>
      <c r="P24" s="26"/>
      <c r="Q24" s="15">
        <f t="shared" si="2"/>
        <v>308415</v>
      </c>
      <c r="R24" s="25">
        <v>41326</v>
      </c>
      <c r="S24" s="25">
        <v>267089</v>
      </c>
      <c r="T24" s="25">
        <v>154815</v>
      </c>
      <c r="U24" s="25">
        <v>153600</v>
      </c>
      <c r="V24" s="25">
        <v>38870</v>
      </c>
      <c r="W24" s="25">
        <v>269545</v>
      </c>
      <c r="X24" s="25">
        <v>16159</v>
      </c>
      <c r="Y24" s="25">
        <v>57167</v>
      </c>
      <c r="Z24" s="25">
        <v>42057</v>
      </c>
      <c r="AA24" s="25">
        <v>60043</v>
      </c>
      <c r="AB24" s="25">
        <v>79992</v>
      </c>
      <c r="AC24" s="25">
        <v>52997</v>
      </c>
    </row>
    <row r="25" spans="1:29" s="1" customFormat="1" ht="13.8" x14ac:dyDescent="0.3">
      <c r="A25" s="42">
        <v>42004</v>
      </c>
      <c r="B25" s="14">
        <f t="shared" si="0"/>
        <v>598581</v>
      </c>
      <c r="C25" s="14">
        <f t="shared" si="1"/>
        <v>291462</v>
      </c>
      <c r="D25" s="25">
        <v>34456</v>
      </c>
      <c r="E25" s="25">
        <v>257006</v>
      </c>
      <c r="F25" s="25">
        <v>148949</v>
      </c>
      <c r="G25" s="25">
        <v>142513</v>
      </c>
      <c r="H25" s="25">
        <v>27418</v>
      </c>
      <c r="I25" s="25">
        <v>264044</v>
      </c>
      <c r="J25" s="25">
        <v>17752</v>
      </c>
      <c r="K25" s="25">
        <v>73615</v>
      </c>
      <c r="L25" s="25">
        <v>55018</v>
      </c>
      <c r="M25" s="25">
        <v>57219</v>
      </c>
      <c r="N25" s="25">
        <v>61457</v>
      </c>
      <c r="O25" s="25">
        <v>26401</v>
      </c>
      <c r="P25" s="26"/>
      <c r="Q25" s="15">
        <f t="shared" si="2"/>
        <v>307119</v>
      </c>
      <c r="R25" s="25">
        <v>39381</v>
      </c>
      <c r="S25" s="25">
        <v>267738</v>
      </c>
      <c r="T25" s="25">
        <v>154753</v>
      </c>
      <c r="U25" s="25">
        <v>152366</v>
      </c>
      <c r="V25" s="25">
        <v>36939</v>
      </c>
      <c r="W25" s="25">
        <v>270180</v>
      </c>
      <c r="X25" s="25">
        <v>16173</v>
      </c>
      <c r="Y25" s="25">
        <v>57272</v>
      </c>
      <c r="Z25" s="25">
        <v>42215</v>
      </c>
      <c r="AA25" s="25">
        <v>60489</v>
      </c>
      <c r="AB25" s="25">
        <v>79641</v>
      </c>
      <c r="AC25" s="25">
        <v>51329</v>
      </c>
    </row>
    <row r="26" spans="1:29" s="1" customFormat="1" ht="13.8" x14ac:dyDescent="0.3">
      <c r="A26" s="42">
        <v>42035</v>
      </c>
      <c r="B26" s="14">
        <f t="shared" si="0"/>
        <v>615654</v>
      </c>
      <c r="C26" s="14">
        <f t="shared" si="1"/>
        <v>299432</v>
      </c>
      <c r="D26" s="26">
        <v>36465</v>
      </c>
      <c r="E26" s="26">
        <v>262967</v>
      </c>
      <c r="F26" s="26">
        <v>153123</v>
      </c>
      <c r="G26" s="26">
        <v>146309</v>
      </c>
      <c r="H26" s="26">
        <v>28667</v>
      </c>
      <c r="I26" s="26">
        <v>270765</v>
      </c>
      <c r="J26" s="26">
        <v>18075</v>
      </c>
      <c r="K26" s="26">
        <v>74355</v>
      </c>
      <c r="L26" s="26">
        <v>56254</v>
      </c>
      <c r="M26" s="26">
        <v>59628</v>
      </c>
      <c r="N26" s="26">
        <v>63513</v>
      </c>
      <c r="O26" s="26">
        <v>27607</v>
      </c>
      <c r="P26" s="26"/>
      <c r="Q26" s="15">
        <f t="shared" si="2"/>
        <v>316222</v>
      </c>
      <c r="R26" s="25">
        <v>41426</v>
      </c>
      <c r="S26" s="25">
        <v>274796</v>
      </c>
      <c r="T26" s="25">
        <v>158896</v>
      </c>
      <c r="U26" s="25">
        <v>157326</v>
      </c>
      <c r="V26" s="25">
        <v>38156</v>
      </c>
      <c r="W26" s="25">
        <v>278066</v>
      </c>
      <c r="X26" s="25">
        <v>16416</v>
      </c>
      <c r="Y26" s="25">
        <v>57636</v>
      </c>
      <c r="Z26" s="25">
        <v>43070</v>
      </c>
      <c r="AA26" s="25">
        <v>62823</v>
      </c>
      <c r="AB26" s="25">
        <v>82726</v>
      </c>
      <c r="AC26" s="25">
        <v>53551</v>
      </c>
    </row>
    <row r="27" spans="1:29" s="1" customFormat="1" ht="13.8" x14ac:dyDescent="0.3">
      <c r="A27" s="42">
        <v>42063</v>
      </c>
      <c r="B27" s="14">
        <f t="shared" si="0"/>
        <v>604314</v>
      </c>
      <c r="C27" s="14">
        <f t="shared" si="1"/>
        <v>294294</v>
      </c>
      <c r="D27" s="26">
        <v>35953</v>
      </c>
      <c r="E27" s="26">
        <v>258341</v>
      </c>
      <c r="F27" s="26">
        <v>150384</v>
      </c>
      <c r="G27" s="26">
        <v>143910</v>
      </c>
      <c r="H27" s="26">
        <v>28135</v>
      </c>
      <c r="I27" s="26">
        <v>266159</v>
      </c>
      <c r="J27" s="26">
        <v>17696</v>
      </c>
      <c r="K27" s="26">
        <v>72909</v>
      </c>
      <c r="L27" s="26">
        <v>55269</v>
      </c>
      <c r="M27" s="26">
        <v>58792</v>
      </c>
      <c r="N27" s="26">
        <v>62606</v>
      </c>
      <c r="O27" s="26">
        <v>27022</v>
      </c>
      <c r="P27" s="26"/>
      <c r="Q27" s="15">
        <f t="shared" si="2"/>
        <v>310020</v>
      </c>
      <c r="R27" s="25">
        <v>40617</v>
      </c>
      <c r="S27" s="25">
        <v>269403</v>
      </c>
      <c r="T27" s="25">
        <v>155827</v>
      </c>
      <c r="U27" s="25">
        <v>154193</v>
      </c>
      <c r="V27" s="25">
        <v>37300</v>
      </c>
      <c r="W27" s="25">
        <v>272720</v>
      </c>
      <c r="X27" s="25">
        <v>16101</v>
      </c>
      <c r="Y27" s="25">
        <v>56217</v>
      </c>
      <c r="Z27" s="25">
        <v>42429</v>
      </c>
      <c r="AA27" s="25">
        <v>61923</v>
      </c>
      <c r="AB27" s="25">
        <v>81392</v>
      </c>
      <c r="AC27" s="25">
        <v>51958</v>
      </c>
    </row>
    <row r="28" spans="1:29" s="1" customFormat="1" ht="13.8" x14ac:dyDescent="0.3">
      <c r="A28" s="42">
        <v>42094</v>
      </c>
      <c r="B28" s="14">
        <f t="shared" si="0"/>
        <v>590605</v>
      </c>
      <c r="C28" s="14">
        <f t="shared" si="1"/>
        <v>287168</v>
      </c>
      <c r="D28" s="26">
        <v>34970</v>
      </c>
      <c r="E28" s="26">
        <v>252198</v>
      </c>
      <c r="F28" s="26">
        <v>146506</v>
      </c>
      <c r="G28" s="26">
        <v>140662</v>
      </c>
      <c r="H28" s="26">
        <v>27656</v>
      </c>
      <c r="I28" s="26">
        <v>259512</v>
      </c>
      <c r="J28" s="26">
        <v>17545</v>
      </c>
      <c r="K28" s="26">
        <v>71072</v>
      </c>
      <c r="L28" s="26">
        <v>53429</v>
      </c>
      <c r="M28" s="26">
        <v>57279</v>
      </c>
      <c r="N28" s="26">
        <v>61306</v>
      </c>
      <c r="O28" s="26">
        <v>26537</v>
      </c>
      <c r="P28" s="26"/>
      <c r="Q28" s="15">
        <f t="shared" si="2"/>
        <v>303437</v>
      </c>
      <c r="R28" s="25">
        <v>39372</v>
      </c>
      <c r="S28" s="25">
        <v>264065</v>
      </c>
      <c r="T28" s="25">
        <v>153211</v>
      </c>
      <c r="U28" s="25">
        <v>150226</v>
      </c>
      <c r="V28" s="25">
        <v>36474</v>
      </c>
      <c r="W28" s="25">
        <v>266963</v>
      </c>
      <c r="X28" s="25">
        <v>16062</v>
      </c>
      <c r="Y28" s="25">
        <v>55258</v>
      </c>
      <c r="Z28" s="25">
        <v>41426</v>
      </c>
      <c r="AA28" s="25">
        <v>60693</v>
      </c>
      <c r="AB28" s="25">
        <v>79465</v>
      </c>
      <c r="AC28" s="25">
        <v>50533</v>
      </c>
    </row>
    <row r="29" spans="1:29" s="1" customFormat="1" ht="13.8" x14ac:dyDescent="0.3">
      <c r="A29" s="42">
        <v>42124</v>
      </c>
      <c r="B29" s="14">
        <f t="shared" si="0"/>
        <v>573382</v>
      </c>
      <c r="C29" s="14">
        <f t="shared" si="1"/>
        <v>278654</v>
      </c>
      <c r="D29" s="26">
        <v>32904</v>
      </c>
      <c r="E29" s="26">
        <v>245750</v>
      </c>
      <c r="F29" s="26">
        <v>140347</v>
      </c>
      <c r="G29" s="26">
        <v>138307</v>
      </c>
      <c r="H29" s="26">
        <v>26488</v>
      </c>
      <c r="I29" s="26">
        <v>252166</v>
      </c>
      <c r="J29" s="26">
        <v>17350</v>
      </c>
      <c r="K29" s="26">
        <v>69294</v>
      </c>
      <c r="L29" s="26">
        <v>51715</v>
      </c>
      <c r="M29" s="26">
        <v>55360</v>
      </c>
      <c r="N29" s="26">
        <v>59210</v>
      </c>
      <c r="O29" s="26">
        <v>25725</v>
      </c>
      <c r="P29" s="26"/>
      <c r="Q29" s="15">
        <f t="shared" si="2"/>
        <v>294728</v>
      </c>
      <c r="R29" s="25">
        <v>36776</v>
      </c>
      <c r="S29" s="25">
        <v>257952</v>
      </c>
      <c r="T29" s="25">
        <v>147288</v>
      </c>
      <c r="U29" s="25">
        <v>147440</v>
      </c>
      <c r="V29" s="25">
        <v>34792</v>
      </c>
      <c r="W29" s="25">
        <v>259936</v>
      </c>
      <c r="X29" s="25">
        <v>15870</v>
      </c>
      <c r="Y29" s="25">
        <v>53867</v>
      </c>
      <c r="Z29" s="25">
        <v>40245</v>
      </c>
      <c r="AA29" s="25">
        <v>58925</v>
      </c>
      <c r="AB29" s="25">
        <v>76890</v>
      </c>
      <c r="AC29" s="25">
        <v>48931</v>
      </c>
    </row>
    <row r="30" spans="1:29" s="1" customFormat="1" ht="13.8" x14ac:dyDescent="0.3">
      <c r="A30" s="42">
        <v>42155</v>
      </c>
      <c r="B30" s="14">
        <f t="shared" si="0"/>
        <v>554070</v>
      </c>
      <c r="C30" s="14">
        <f t="shared" si="1"/>
        <v>268637</v>
      </c>
      <c r="D30" s="26">
        <v>31052</v>
      </c>
      <c r="E30" s="26">
        <v>237585</v>
      </c>
      <c r="F30" s="26">
        <v>133646</v>
      </c>
      <c r="G30" s="26">
        <v>134991</v>
      </c>
      <c r="H30" s="26">
        <v>25287</v>
      </c>
      <c r="I30" s="26">
        <v>243350</v>
      </c>
      <c r="J30" s="26">
        <v>16958</v>
      </c>
      <c r="K30" s="26">
        <v>66607</v>
      </c>
      <c r="L30" s="26">
        <v>50145</v>
      </c>
      <c r="M30" s="26">
        <v>53277</v>
      </c>
      <c r="N30" s="26">
        <v>56714</v>
      </c>
      <c r="O30" s="26">
        <v>24936</v>
      </c>
      <c r="P30" s="26"/>
      <c r="Q30" s="15">
        <f t="shared" si="2"/>
        <v>285433</v>
      </c>
      <c r="R30" s="25">
        <v>34756</v>
      </c>
      <c r="S30" s="25">
        <v>250677</v>
      </c>
      <c r="T30" s="25">
        <v>141054</v>
      </c>
      <c r="U30" s="25">
        <v>144379</v>
      </c>
      <c r="V30" s="25">
        <v>33567</v>
      </c>
      <c r="W30" s="25">
        <v>251866</v>
      </c>
      <c r="X30" s="25">
        <v>15463</v>
      </c>
      <c r="Y30" s="25">
        <v>52234</v>
      </c>
      <c r="Z30" s="25">
        <v>39311</v>
      </c>
      <c r="AA30" s="25">
        <v>57151</v>
      </c>
      <c r="AB30" s="25">
        <v>73911</v>
      </c>
      <c r="AC30" s="25">
        <v>47363</v>
      </c>
    </row>
    <row r="31" spans="1:29" s="1" customFormat="1" ht="13.8" x14ac:dyDescent="0.3">
      <c r="A31" s="42">
        <v>42185</v>
      </c>
      <c r="B31" s="14">
        <f t="shared" si="0"/>
        <v>536656</v>
      </c>
      <c r="C31" s="14">
        <f t="shared" si="1"/>
        <v>256915</v>
      </c>
      <c r="D31" s="26">
        <v>28264</v>
      </c>
      <c r="E31" s="26">
        <v>228651</v>
      </c>
      <c r="F31" s="26">
        <v>125366</v>
      </c>
      <c r="G31" s="26">
        <v>131549</v>
      </c>
      <c r="H31" s="26">
        <v>23547</v>
      </c>
      <c r="I31" s="26">
        <v>233368</v>
      </c>
      <c r="J31" s="26">
        <v>16572</v>
      </c>
      <c r="K31" s="26">
        <v>64784</v>
      </c>
      <c r="L31" s="26">
        <v>48010</v>
      </c>
      <c r="M31" s="26">
        <v>50062</v>
      </c>
      <c r="N31" s="26">
        <v>53379</v>
      </c>
      <c r="O31" s="26">
        <v>24108</v>
      </c>
      <c r="P31" s="26"/>
      <c r="Q31" s="15">
        <f t="shared" si="2"/>
        <v>279741</v>
      </c>
      <c r="R31" s="25">
        <v>32345</v>
      </c>
      <c r="S31" s="25">
        <v>247396</v>
      </c>
      <c r="T31" s="25">
        <v>138024</v>
      </c>
      <c r="U31" s="25">
        <v>141717</v>
      </c>
      <c r="V31" s="25">
        <v>31839</v>
      </c>
      <c r="W31" s="25">
        <v>247902</v>
      </c>
      <c r="X31" s="25">
        <v>15222</v>
      </c>
      <c r="Y31" s="25">
        <v>51919</v>
      </c>
      <c r="Z31" s="25">
        <v>38991</v>
      </c>
      <c r="AA31" s="25">
        <v>56075</v>
      </c>
      <c r="AB31" s="25">
        <v>71422</v>
      </c>
      <c r="AC31" s="25">
        <v>46112</v>
      </c>
    </row>
    <row r="32" spans="1:29" s="1" customFormat="1" ht="13.8" x14ac:dyDescent="0.3">
      <c r="A32" s="42">
        <v>42216</v>
      </c>
      <c r="B32" s="14">
        <f t="shared" si="0"/>
        <v>532698</v>
      </c>
      <c r="C32" s="14">
        <f t="shared" si="1"/>
        <v>252539</v>
      </c>
      <c r="D32" s="26">
        <v>28151</v>
      </c>
      <c r="E32" s="26">
        <v>224388</v>
      </c>
      <c r="F32" s="26">
        <v>124323</v>
      </c>
      <c r="G32" s="26">
        <v>128216</v>
      </c>
      <c r="H32" s="26">
        <v>24050</v>
      </c>
      <c r="I32" s="26">
        <v>228489</v>
      </c>
      <c r="J32" s="26">
        <v>16340</v>
      </c>
      <c r="K32" s="26">
        <v>63168</v>
      </c>
      <c r="L32" s="26">
        <v>46783</v>
      </c>
      <c r="M32" s="26">
        <v>48420</v>
      </c>
      <c r="N32" s="26">
        <v>52753</v>
      </c>
      <c r="O32" s="26">
        <v>25075</v>
      </c>
      <c r="P32" s="26"/>
      <c r="Q32" s="15">
        <f t="shared" si="2"/>
        <v>280159</v>
      </c>
      <c r="R32" s="25">
        <v>32681</v>
      </c>
      <c r="S32" s="25">
        <v>247478</v>
      </c>
      <c r="T32" s="25">
        <v>139359</v>
      </c>
      <c r="U32" s="25">
        <v>140800</v>
      </c>
      <c r="V32" s="25">
        <v>32756</v>
      </c>
      <c r="W32" s="25">
        <v>247403</v>
      </c>
      <c r="X32" s="25">
        <v>15115</v>
      </c>
      <c r="Y32" s="25">
        <v>51265</v>
      </c>
      <c r="Z32" s="25">
        <v>38636</v>
      </c>
      <c r="AA32" s="25">
        <v>55282</v>
      </c>
      <c r="AB32" s="25">
        <v>71261</v>
      </c>
      <c r="AC32" s="25">
        <v>48600</v>
      </c>
    </row>
    <row r="33" spans="1:29" s="1" customFormat="1" ht="13.8" x14ac:dyDescent="0.3">
      <c r="A33" s="42">
        <v>42247</v>
      </c>
      <c r="B33" s="14">
        <f t="shared" si="0"/>
        <v>536581</v>
      </c>
      <c r="C33" s="14">
        <f t="shared" si="1"/>
        <v>252227</v>
      </c>
      <c r="D33" s="26">
        <v>28968</v>
      </c>
      <c r="E33" s="26">
        <v>223259</v>
      </c>
      <c r="F33" s="26">
        <v>125293</v>
      </c>
      <c r="G33" s="26">
        <v>126934</v>
      </c>
      <c r="H33" s="26">
        <v>25156</v>
      </c>
      <c r="I33" s="26">
        <v>227071</v>
      </c>
      <c r="J33" s="26">
        <v>16166</v>
      </c>
      <c r="K33" s="26">
        <v>62487</v>
      </c>
      <c r="L33" s="26">
        <v>46342</v>
      </c>
      <c r="M33" s="26">
        <v>48351</v>
      </c>
      <c r="N33" s="26">
        <v>53710</v>
      </c>
      <c r="O33" s="26">
        <v>25171</v>
      </c>
      <c r="P33" s="26"/>
      <c r="Q33" s="15">
        <f t="shared" si="2"/>
        <v>284354</v>
      </c>
      <c r="R33" s="25">
        <v>34187</v>
      </c>
      <c r="S33" s="25">
        <v>250167</v>
      </c>
      <c r="T33" s="25">
        <v>142941</v>
      </c>
      <c r="U33" s="25">
        <v>141413</v>
      </c>
      <c r="V33" s="25">
        <v>34310</v>
      </c>
      <c r="W33" s="25">
        <v>250044</v>
      </c>
      <c r="X33" s="25">
        <v>14972</v>
      </c>
      <c r="Y33" s="25">
        <v>51342</v>
      </c>
      <c r="Z33" s="25">
        <v>38877</v>
      </c>
      <c r="AA33" s="25">
        <v>56385</v>
      </c>
      <c r="AB33" s="25">
        <v>73316</v>
      </c>
      <c r="AC33" s="25">
        <v>49462</v>
      </c>
    </row>
    <row r="34" spans="1:29" s="1" customFormat="1" ht="13.8" x14ac:dyDescent="0.3">
      <c r="A34" s="42">
        <v>42277</v>
      </c>
      <c r="B34" s="14">
        <f t="shared" si="0"/>
        <v>538713</v>
      </c>
      <c r="C34" s="14">
        <f t="shared" si="1"/>
        <v>253291</v>
      </c>
      <c r="D34" s="26">
        <v>31019</v>
      </c>
      <c r="E34" s="26">
        <v>222272</v>
      </c>
      <c r="F34" s="26">
        <v>127592</v>
      </c>
      <c r="G34" s="26">
        <v>125699</v>
      </c>
      <c r="H34" s="26">
        <v>26771</v>
      </c>
      <c r="I34" s="26">
        <v>226520</v>
      </c>
      <c r="J34" s="26">
        <v>15996</v>
      </c>
      <c r="K34" s="26">
        <v>61433</v>
      </c>
      <c r="L34" s="26">
        <v>45924</v>
      </c>
      <c r="M34" s="26">
        <v>48475</v>
      </c>
      <c r="N34" s="26">
        <v>55371</v>
      </c>
      <c r="O34" s="26">
        <v>26092</v>
      </c>
      <c r="P34" s="26"/>
      <c r="Q34" s="15">
        <f t="shared" si="2"/>
        <v>285422</v>
      </c>
      <c r="R34" s="25">
        <v>36529</v>
      </c>
      <c r="S34" s="25">
        <v>248893</v>
      </c>
      <c r="T34" s="25">
        <v>145022</v>
      </c>
      <c r="U34" s="25">
        <v>140400</v>
      </c>
      <c r="V34" s="25">
        <v>35859</v>
      </c>
      <c r="W34" s="25">
        <v>249563</v>
      </c>
      <c r="X34" s="25">
        <v>14957</v>
      </c>
      <c r="Y34" s="25">
        <v>50312</v>
      </c>
      <c r="Z34" s="25">
        <v>38236</v>
      </c>
      <c r="AA34" s="25">
        <v>55208</v>
      </c>
      <c r="AB34" s="25">
        <v>74196</v>
      </c>
      <c r="AC34" s="25">
        <v>52513</v>
      </c>
    </row>
    <row r="35" spans="1:29" s="1" customFormat="1" ht="13.8" x14ac:dyDescent="0.3">
      <c r="A35" s="42">
        <v>42307</v>
      </c>
      <c r="B35" s="14">
        <f t="shared" si="0"/>
        <v>542030</v>
      </c>
      <c r="C35" s="14">
        <f t="shared" si="1"/>
        <v>256753</v>
      </c>
      <c r="D35" s="26">
        <v>32692</v>
      </c>
      <c r="E35" s="26">
        <v>224061</v>
      </c>
      <c r="F35" s="26">
        <v>132285</v>
      </c>
      <c r="G35" s="26">
        <v>124468</v>
      </c>
      <c r="H35" s="26">
        <v>27065</v>
      </c>
      <c r="I35" s="26">
        <v>229688</v>
      </c>
      <c r="J35" s="26">
        <v>16025</v>
      </c>
      <c r="K35" s="26">
        <v>61302</v>
      </c>
      <c r="L35" s="26">
        <v>46899</v>
      </c>
      <c r="M35" s="26">
        <v>49608</v>
      </c>
      <c r="N35" s="26">
        <v>57350</v>
      </c>
      <c r="O35" s="26">
        <v>25569</v>
      </c>
      <c r="P35" s="26"/>
      <c r="Q35" s="15">
        <f t="shared" si="2"/>
        <v>285277</v>
      </c>
      <c r="R35" s="25">
        <v>38595</v>
      </c>
      <c r="S35" s="25">
        <v>246682</v>
      </c>
      <c r="T35" s="25">
        <v>146656</v>
      </c>
      <c r="U35" s="25">
        <v>138621</v>
      </c>
      <c r="V35" s="25">
        <v>36480</v>
      </c>
      <c r="W35" s="25">
        <v>248797</v>
      </c>
      <c r="X35" s="25">
        <v>15130</v>
      </c>
      <c r="Y35" s="25">
        <v>50305</v>
      </c>
      <c r="Z35" s="25">
        <v>38553</v>
      </c>
      <c r="AA35" s="25">
        <v>55715</v>
      </c>
      <c r="AB35" s="25">
        <v>75658</v>
      </c>
      <c r="AC35" s="25">
        <v>49916</v>
      </c>
    </row>
    <row r="36" spans="1:29" s="1" customFormat="1" ht="13.8" x14ac:dyDescent="0.3">
      <c r="A36" s="42">
        <v>42338</v>
      </c>
      <c r="B36" s="14">
        <f t="shared" si="0"/>
        <v>550250</v>
      </c>
      <c r="C36" s="14">
        <f t="shared" si="1"/>
        <v>262397</v>
      </c>
      <c r="D36" s="26">
        <v>33294</v>
      </c>
      <c r="E36" s="26">
        <v>229103</v>
      </c>
      <c r="F36" s="26">
        <v>138061</v>
      </c>
      <c r="G36" s="26">
        <v>124336</v>
      </c>
      <c r="H36" s="26">
        <v>26688</v>
      </c>
      <c r="I36" s="26">
        <v>235709</v>
      </c>
      <c r="J36" s="26">
        <v>16093</v>
      </c>
      <c r="K36" s="26">
        <v>61900</v>
      </c>
      <c r="L36" s="26">
        <v>48141</v>
      </c>
      <c r="M36" s="26">
        <v>51459</v>
      </c>
      <c r="N36" s="26">
        <v>58812</v>
      </c>
      <c r="O36" s="26">
        <v>25992</v>
      </c>
      <c r="P36" s="26"/>
      <c r="Q36" s="15">
        <f t="shared" si="2"/>
        <v>287853</v>
      </c>
      <c r="R36" s="25">
        <v>37996</v>
      </c>
      <c r="S36" s="25">
        <v>249857</v>
      </c>
      <c r="T36" s="25">
        <v>149548</v>
      </c>
      <c r="U36" s="25">
        <v>138305</v>
      </c>
      <c r="V36" s="25">
        <v>35494</v>
      </c>
      <c r="W36" s="25">
        <v>252359</v>
      </c>
      <c r="X36" s="25">
        <v>15347</v>
      </c>
      <c r="Y36" s="25">
        <v>50921</v>
      </c>
      <c r="Z36" s="25">
        <v>39356</v>
      </c>
      <c r="AA36" s="25">
        <v>56628</v>
      </c>
      <c r="AB36" s="25">
        <v>76396</v>
      </c>
      <c r="AC36" s="25">
        <v>49205</v>
      </c>
    </row>
    <row r="37" spans="1:29" s="1" customFormat="1" ht="13.8" x14ac:dyDescent="0.3">
      <c r="A37" s="42">
        <v>42369</v>
      </c>
      <c r="B37" s="14">
        <f t="shared" si="0"/>
        <v>555167</v>
      </c>
      <c r="C37" s="14">
        <f t="shared" si="1"/>
        <v>267051</v>
      </c>
      <c r="D37" s="26">
        <v>32626</v>
      </c>
      <c r="E37" s="26">
        <v>234425</v>
      </c>
      <c r="F37" s="26">
        <v>144013</v>
      </c>
      <c r="G37" s="26">
        <v>123038</v>
      </c>
      <c r="H37" s="26">
        <v>25445</v>
      </c>
      <c r="I37" s="26">
        <v>241606</v>
      </c>
      <c r="J37" s="26">
        <v>16208</v>
      </c>
      <c r="K37" s="26">
        <v>62794</v>
      </c>
      <c r="L37" s="26">
        <v>49727</v>
      </c>
      <c r="M37" s="26">
        <v>52842</v>
      </c>
      <c r="N37" s="26">
        <v>59746</v>
      </c>
      <c r="O37" s="26">
        <v>25734</v>
      </c>
      <c r="P37" s="26"/>
      <c r="Q37" s="15">
        <f t="shared" si="2"/>
        <v>288116</v>
      </c>
      <c r="R37" s="25">
        <v>36596</v>
      </c>
      <c r="S37" s="25">
        <v>251520</v>
      </c>
      <c r="T37" s="25">
        <v>151115</v>
      </c>
      <c r="U37" s="25">
        <v>137001</v>
      </c>
      <c r="V37" s="25">
        <v>34281</v>
      </c>
      <c r="W37" s="25">
        <v>253835</v>
      </c>
      <c r="X37" s="25">
        <v>15406</v>
      </c>
      <c r="Y37" s="25">
        <v>50928</v>
      </c>
      <c r="Z37" s="25">
        <v>39703</v>
      </c>
      <c r="AA37" s="25">
        <v>57137</v>
      </c>
      <c r="AB37" s="25">
        <v>76591</v>
      </c>
      <c r="AC37" s="25">
        <v>48351</v>
      </c>
    </row>
    <row r="38" spans="1:29" s="1" customFormat="1" ht="13.8" x14ac:dyDescent="0.3">
      <c r="A38" s="42">
        <v>42400</v>
      </c>
      <c r="B38" s="14">
        <f t="shared" si="0"/>
        <v>570380</v>
      </c>
      <c r="C38" s="14">
        <f t="shared" si="1"/>
        <v>274362</v>
      </c>
      <c r="D38" s="25">
        <v>34404</v>
      </c>
      <c r="E38" s="25">
        <v>239958</v>
      </c>
      <c r="F38" s="25">
        <v>149239</v>
      </c>
      <c r="G38" s="25">
        <v>125123</v>
      </c>
      <c r="H38" s="25">
        <v>26759</v>
      </c>
      <c r="I38" s="25">
        <v>247603</v>
      </c>
      <c r="J38" s="25">
        <v>16389</v>
      </c>
      <c r="K38" s="25">
        <v>63438</v>
      </c>
      <c r="L38" s="25">
        <v>50789</v>
      </c>
      <c r="M38" s="25">
        <v>54978</v>
      </c>
      <c r="N38" s="25">
        <v>61942</v>
      </c>
      <c r="O38" s="25">
        <v>26826</v>
      </c>
      <c r="P38" s="26"/>
      <c r="Q38" s="15">
        <f t="shared" si="2"/>
        <v>296018</v>
      </c>
      <c r="R38" s="25">
        <v>38469</v>
      </c>
      <c r="S38" s="25">
        <v>257549</v>
      </c>
      <c r="T38" s="25">
        <v>156429</v>
      </c>
      <c r="U38" s="25">
        <v>139589</v>
      </c>
      <c r="V38" s="25">
        <v>35233</v>
      </c>
      <c r="W38" s="25">
        <v>260785</v>
      </c>
      <c r="X38" s="25">
        <v>15574</v>
      </c>
      <c r="Y38" s="25">
        <v>51294</v>
      </c>
      <c r="Z38" s="25">
        <v>40601</v>
      </c>
      <c r="AA38" s="25">
        <v>58965</v>
      </c>
      <c r="AB38" s="25">
        <v>79700</v>
      </c>
      <c r="AC38" s="25">
        <v>49884</v>
      </c>
    </row>
    <row r="39" spans="1:29" s="1" customFormat="1" ht="13.8" x14ac:dyDescent="0.3">
      <c r="A39" s="42">
        <v>42428</v>
      </c>
      <c r="B39" s="14">
        <f t="shared" si="0"/>
        <v>575999</v>
      </c>
      <c r="C39" s="14">
        <f t="shared" si="1"/>
        <v>276279</v>
      </c>
      <c r="D39" s="25">
        <v>34890</v>
      </c>
      <c r="E39" s="25">
        <v>241389</v>
      </c>
      <c r="F39" s="25">
        <v>149820</v>
      </c>
      <c r="G39" s="25">
        <v>126459</v>
      </c>
      <c r="H39" s="25">
        <v>27015</v>
      </c>
      <c r="I39" s="25">
        <v>249264</v>
      </c>
      <c r="J39" s="25">
        <v>16544</v>
      </c>
      <c r="K39" s="25">
        <v>63412</v>
      </c>
      <c r="L39" s="25">
        <v>51310</v>
      </c>
      <c r="M39" s="25">
        <v>55776</v>
      </c>
      <c r="N39" s="25">
        <v>62330</v>
      </c>
      <c r="O39" s="25">
        <v>26907</v>
      </c>
      <c r="P39" s="26"/>
      <c r="Q39" s="15">
        <f t="shared" si="2"/>
        <v>299720</v>
      </c>
      <c r="R39" s="25">
        <v>39062</v>
      </c>
      <c r="S39" s="25">
        <v>260658</v>
      </c>
      <c r="T39" s="25">
        <v>158508</v>
      </c>
      <c r="U39" s="25">
        <v>141212</v>
      </c>
      <c r="V39" s="25">
        <v>35613</v>
      </c>
      <c r="W39" s="25">
        <v>264107</v>
      </c>
      <c r="X39" s="25">
        <v>15768</v>
      </c>
      <c r="Y39" s="25">
        <v>51707</v>
      </c>
      <c r="Z39" s="25">
        <v>41094</v>
      </c>
      <c r="AA39" s="25">
        <v>60048</v>
      </c>
      <c r="AB39" s="25">
        <v>81198</v>
      </c>
      <c r="AC39" s="25">
        <v>49905</v>
      </c>
    </row>
    <row r="40" spans="1:29" s="1" customFormat="1" ht="13.8" x14ac:dyDescent="0.3">
      <c r="A40" s="42">
        <v>42460</v>
      </c>
      <c r="B40" s="14">
        <f t="shared" si="0"/>
        <v>575075</v>
      </c>
      <c r="C40" s="14">
        <f t="shared" si="1"/>
        <v>274995</v>
      </c>
      <c r="D40" s="25">
        <v>34488</v>
      </c>
      <c r="E40" s="25">
        <v>240507</v>
      </c>
      <c r="F40" s="25">
        <v>146756</v>
      </c>
      <c r="G40" s="25">
        <v>128239</v>
      </c>
      <c r="H40" s="25">
        <v>27151</v>
      </c>
      <c r="I40" s="25">
        <v>247844</v>
      </c>
      <c r="J40" s="25">
        <v>16728</v>
      </c>
      <c r="K40" s="25">
        <v>63387</v>
      </c>
      <c r="L40" s="25">
        <v>50971</v>
      </c>
      <c r="M40" s="25">
        <v>55421</v>
      </c>
      <c r="N40" s="25">
        <v>61578</v>
      </c>
      <c r="O40" s="25">
        <v>26910</v>
      </c>
      <c r="P40" s="26"/>
      <c r="Q40" s="15">
        <f t="shared" si="2"/>
        <v>300080</v>
      </c>
      <c r="R40" s="25">
        <v>38407</v>
      </c>
      <c r="S40" s="25">
        <v>261673</v>
      </c>
      <c r="T40" s="25">
        <v>156569</v>
      </c>
      <c r="U40" s="25">
        <v>143511</v>
      </c>
      <c r="V40" s="25">
        <v>35782</v>
      </c>
      <c r="W40" s="25">
        <v>264298</v>
      </c>
      <c r="X40" s="25">
        <v>16057</v>
      </c>
      <c r="Y40" s="25">
        <v>51822</v>
      </c>
      <c r="Z40" s="25">
        <v>41275</v>
      </c>
      <c r="AA40" s="25">
        <v>60232</v>
      </c>
      <c r="AB40" s="25">
        <v>81110</v>
      </c>
      <c r="AC40" s="25">
        <v>49584</v>
      </c>
    </row>
    <row r="41" spans="1:29" s="1" customFormat="1" ht="13.8" x14ac:dyDescent="0.3">
      <c r="A41" s="42">
        <v>42490</v>
      </c>
      <c r="B41" s="14">
        <f t="shared" si="0"/>
        <v>562934</v>
      </c>
      <c r="C41" s="14">
        <f t="shared" si="1"/>
        <v>268457</v>
      </c>
      <c r="D41" s="25">
        <v>33564</v>
      </c>
      <c r="E41" s="25">
        <v>234893</v>
      </c>
      <c r="F41" s="25">
        <v>142219</v>
      </c>
      <c r="G41" s="25">
        <v>126238</v>
      </c>
      <c r="H41" s="25">
        <v>26863</v>
      </c>
      <c r="I41" s="25">
        <v>241594</v>
      </c>
      <c r="J41" s="25">
        <v>16484</v>
      </c>
      <c r="K41" s="25">
        <v>61365</v>
      </c>
      <c r="L41" s="25">
        <v>49868</v>
      </c>
      <c r="M41" s="25">
        <v>54148</v>
      </c>
      <c r="N41" s="25">
        <v>60120</v>
      </c>
      <c r="O41" s="25">
        <v>26472</v>
      </c>
      <c r="P41" s="26"/>
      <c r="Q41" s="15">
        <f t="shared" si="2"/>
        <v>294477</v>
      </c>
      <c r="R41" s="25">
        <v>37247</v>
      </c>
      <c r="S41" s="25">
        <v>257230</v>
      </c>
      <c r="T41" s="25">
        <v>152487</v>
      </c>
      <c r="U41" s="25">
        <v>141990</v>
      </c>
      <c r="V41" s="25">
        <v>35214</v>
      </c>
      <c r="W41" s="25">
        <v>259263</v>
      </c>
      <c r="X41" s="25">
        <v>15931</v>
      </c>
      <c r="Y41" s="25">
        <v>50928</v>
      </c>
      <c r="Z41" s="25">
        <v>40496</v>
      </c>
      <c r="AA41" s="25">
        <v>59031</v>
      </c>
      <c r="AB41" s="25">
        <v>79583</v>
      </c>
      <c r="AC41" s="25">
        <v>48508</v>
      </c>
    </row>
    <row r="42" spans="1:29" s="1" customFormat="1" ht="13.8" x14ac:dyDescent="0.3">
      <c r="A42" s="42">
        <v>42521</v>
      </c>
      <c r="B42" s="14">
        <f t="shared" si="0"/>
        <v>534958</v>
      </c>
      <c r="C42" s="14">
        <f t="shared" si="1"/>
        <v>254819</v>
      </c>
      <c r="D42" s="25">
        <v>30395</v>
      </c>
      <c r="E42" s="25">
        <v>224424</v>
      </c>
      <c r="F42" s="25">
        <v>132856</v>
      </c>
      <c r="G42" s="25">
        <v>121963</v>
      </c>
      <c r="H42" s="25">
        <v>25066</v>
      </c>
      <c r="I42" s="25">
        <v>229753</v>
      </c>
      <c r="J42" s="25">
        <v>16029</v>
      </c>
      <c r="K42" s="25">
        <v>58618</v>
      </c>
      <c r="L42" s="25">
        <v>47235</v>
      </c>
      <c r="M42" s="25">
        <v>51321</v>
      </c>
      <c r="N42" s="25">
        <v>56634</v>
      </c>
      <c r="O42" s="25">
        <v>24982</v>
      </c>
      <c r="P42" s="26"/>
      <c r="Q42" s="15">
        <f t="shared" si="2"/>
        <v>280139</v>
      </c>
      <c r="R42" s="25">
        <v>33568</v>
      </c>
      <c r="S42" s="25">
        <v>246571</v>
      </c>
      <c r="T42" s="25">
        <v>143525</v>
      </c>
      <c r="U42" s="25">
        <v>136614</v>
      </c>
      <c r="V42" s="25">
        <v>32866</v>
      </c>
      <c r="W42" s="25">
        <v>247273</v>
      </c>
      <c r="X42" s="25">
        <v>15563</v>
      </c>
      <c r="Y42" s="25">
        <v>48977</v>
      </c>
      <c r="Z42" s="25">
        <v>38890</v>
      </c>
      <c r="AA42" s="25">
        <v>56234</v>
      </c>
      <c r="AB42" s="25">
        <v>74759</v>
      </c>
      <c r="AC42" s="25">
        <v>45716</v>
      </c>
    </row>
    <row r="43" spans="1:29" s="1" customFormat="1" ht="13.8" x14ac:dyDescent="0.3">
      <c r="A43" s="42">
        <v>42551</v>
      </c>
      <c r="B43" s="14">
        <f t="shared" si="0"/>
        <v>511642</v>
      </c>
      <c r="C43" s="14">
        <f t="shared" si="1"/>
        <v>241160</v>
      </c>
      <c r="D43" s="25">
        <v>27741</v>
      </c>
      <c r="E43" s="25">
        <v>213419</v>
      </c>
      <c r="F43" s="25">
        <v>123506</v>
      </c>
      <c r="G43" s="25">
        <v>117654</v>
      </c>
      <c r="H43" s="25">
        <v>23628</v>
      </c>
      <c r="I43" s="25">
        <v>217532</v>
      </c>
      <c r="J43" s="25">
        <v>15626</v>
      </c>
      <c r="K43" s="25">
        <v>56070</v>
      </c>
      <c r="L43" s="25">
        <v>44278</v>
      </c>
      <c r="M43" s="25">
        <v>47925</v>
      </c>
      <c r="N43" s="25">
        <v>53166</v>
      </c>
      <c r="O43" s="25">
        <v>24095</v>
      </c>
      <c r="P43" s="26"/>
      <c r="Q43" s="15">
        <f t="shared" si="2"/>
        <v>270482</v>
      </c>
      <c r="R43" s="25">
        <v>30732</v>
      </c>
      <c r="S43" s="25">
        <v>239750</v>
      </c>
      <c r="T43" s="25">
        <v>138618</v>
      </c>
      <c r="U43" s="25">
        <v>131864</v>
      </c>
      <c r="V43" s="25">
        <v>31031</v>
      </c>
      <c r="W43" s="25">
        <v>239451</v>
      </c>
      <c r="X43" s="25">
        <v>15368</v>
      </c>
      <c r="Y43" s="25">
        <v>48078</v>
      </c>
      <c r="Z43" s="25">
        <v>37591</v>
      </c>
      <c r="AA43" s="25">
        <v>54127</v>
      </c>
      <c r="AB43" s="25">
        <v>70893</v>
      </c>
      <c r="AC43" s="25">
        <v>44425</v>
      </c>
    </row>
    <row r="44" spans="1:29" s="1" customFormat="1" ht="13.8" x14ac:dyDescent="0.3">
      <c r="A44" s="42">
        <v>42582</v>
      </c>
      <c r="B44" s="14">
        <f t="shared" si="0"/>
        <v>497663</v>
      </c>
      <c r="C44" s="14">
        <f t="shared" si="1"/>
        <v>232514</v>
      </c>
      <c r="D44" s="25">
        <v>25761</v>
      </c>
      <c r="E44" s="25">
        <v>206753</v>
      </c>
      <c r="F44" s="25">
        <v>117454</v>
      </c>
      <c r="G44" s="25">
        <v>115060</v>
      </c>
      <c r="H44" s="25">
        <v>22768</v>
      </c>
      <c r="I44" s="25">
        <v>209746</v>
      </c>
      <c r="J44" s="25">
        <v>15215</v>
      </c>
      <c r="K44" s="25">
        <v>54570</v>
      </c>
      <c r="L44" s="25">
        <v>42622</v>
      </c>
      <c r="M44" s="25">
        <v>44962</v>
      </c>
      <c r="N44" s="25">
        <v>50851</v>
      </c>
      <c r="O44" s="25">
        <v>24294</v>
      </c>
      <c r="P44" s="26"/>
      <c r="Q44" s="15">
        <f t="shared" si="2"/>
        <v>265149</v>
      </c>
      <c r="R44" s="25">
        <v>29448</v>
      </c>
      <c r="S44" s="25">
        <v>235701</v>
      </c>
      <c r="T44" s="25">
        <v>133412</v>
      </c>
      <c r="U44" s="25">
        <v>131737</v>
      </c>
      <c r="V44" s="25">
        <v>30395</v>
      </c>
      <c r="W44" s="25">
        <v>234754</v>
      </c>
      <c r="X44" s="25">
        <v>15075</v>
      </c>
      <c r="Y44" s="25">
        <v>47363</v>
      </c>
      <c r="Z44" s="25">
        <v>36636</v>
      </c>
      <c r="AA44" s="25">
        <v>51896</v>
      </c>
      <c r="AB44" s="25">
        <v>68728</v>
      </c>
      <c r="AC44" s="25">
        <v>45451</v>
      </c>
    </row>
    <row r="45" spans="1:29" s="1" customFormat="1" ht="13.8" x14ac:dyDescent="0.3">
      <c r="A45" s="42">
        <v>42613</v>
      </c>
      <c r="B45" s="14">
        <f t="shared" si="0"/>
        <v>498763</v>
      </c>
      <c r="C45" s="14">
        <f t="shared" si="1"/>
        <v>230703</v>
      </c>
      <c r="D45" s="25">
        <v>26565</v>
      </c>
      <c r="E45" s="25">
        <v>204138</v>
      </c>
      <c r="F45" s="25">
        <v>116955</v>
      </c>
      <c r="G45" s="25">
        <v>113748</v>
      </c>
      <c r="H45" s="25">
        <v>23586</v>
      </c>
      <c r="I45" s="25">
        <v>207117</v>
      </c>
      <c r="J45" s="25">
        <v>15058</v>
      </c>
      <c r="K45" s="25">
        <v>53423</v>
      </c>
      <c r="L45" s="25">
        <v>41830</v>
      </c>
      <c r="M45" s="25">
        <v>44391</v>
      </c>
      <c r="N45" s="25">
        <v>51085</v>
      </c>
      <c r="O45" s="25">
        <v>24916</v>
      </c>
      <c r="P45" s="26"/>
      <c r="Q45" s="15">
        <f t="shared" si="2"/>
        <v>268060</v>
      </c>
      <c r="R45" s="25">
        <v>30984</v>
      </c>
      <c r="S45" s="25">
        <v>237076</v>
      </c>
      <c r="T45" s="25">
        <v>137942</v>
      </c>
      <c r="U45" s="25">
        <v>130118</v>
      </c>
      <c r="V45" s="25">
        <v>31783</v>
      </c>
      <c r="W45" s="25">
        <v>236277</v>
      </c>
      <c r="X45" s="25">
        <v>14996</v>
      </c>
      <c r="Y45" s="25">
        <v>46860</v>
      </c>
      <c r="Z45" s="25">
        <v>36603</v>
      </c>
      <c r="AA45" s="25">
        <v>51808</v>
      </c>
      <c r="AB45" s="25">
        <v>70146</v>
      </c>
      <c r="AC45" s="25">
        <v>47647</v>
      </c>
    </row>
    <row r="46" spans="1:29" s="1" customFormat="1" ht="13.8" x14ac:dyDescent="0.3">
      <c r="A46" s="42">
        <v>42643</v>
      </c>
      <c r="B46" s="14">
        <f t="shared" si="0"/>
        <v>491107</v>
      </c>
      <c r="C46" s="14">
        <f t="shared" si="1"/>
        <v>227538</v>
      </c>
      <c r="D46" s="25">
        <v>27314</v>
      </c>
      <c r="E46" s="25">
        <v>200224</v>
      </c>
      <c r="F46" s="25">
        <v>115861</v>
      </c>
      <c r="G46" s="25">
        <v>111677</v>
      </c>
      <c r="H46" s="25">
        <v>24066</v>
      </c>
      <c r="I46" s="25">
        <v>203472</v>
      </c>
      <c r="J46" s="25">
        <v>14819</v>
      </c>
      <c r="K46" s="25">
        <v>52078</v>
      </c>
      <c r="L46" s="25">
        <v>40877</v>
      </c>
      <c r="M46" s="25">
        <v>43399</v>
      </c>
      <c r="N46" s="25">
        <v>51464</v>
      </c>
      <c r="O46" s="25">
        <v>24901</v>
      </c>
      <c r="P46" s="26"/>
      <c r="Q46" s="15">
        <f t="shared" si="2"/>
        <v>263569</v>
      </c>
      <c r="R46" s="25">
        <v>32236</v>
      </c>
      <c r="S46" s="25">
        <v>231333</v>
      </c>
      <c r="T46" s="25">
        <v>135156</v>
      </c>
      <c r="U46" s="25">
        <v>128413</v>
      </c>
      <c r="V46" s="25">
        <v>32828</v>
      </c>
      <c r="W46" s="25">
        <v>230741</v>
      </c>
      <c r="X46" s="25">
        <v>14733</v>
      </c>
      <c r="Y46" s="25">
        <v>45372</v>
      </c>
      <c r="Z46" s="25">
        <v>35297</v>
      </c>
      <c r="AA46" s="25">
        <v>49828</v>
      </c>
      <c r="AB46" s="25">
        <v>70105</v>
      </c>
      <c r="AC46" s="25">
        <v>48234</v>
      </c>
    </row>
    <row r="47" spans="1:29" s="1" customFormat="1" ht="13.8" x14ac:dyDescent="0.3">
      <c r="A47" s="42">
        <v>42673</v>
      </c>
      <c r="B47" s="14">
        <f t="shared" si="0"/>
        <v>490589</v>
      </c>
      <c r="C47" s="14">
        <f t="shared" si="1"/>
        <v>228339</v>
      </c>
      <c r="D47" s="25">
        <v>28036</v>
      </c>
      <c r="E47" s="25">
        <v>200303</v>
      </c>
      <c r="F47" s="25">
        <v>117047</v>
      </c>
      <c r="G47" s="25">
        <v>111292</v>
      </c>
      <c r="H47" s="25">
        <v>24278</v>
      </c>
      <c r="I47" s="25">
        <v>204061</v>
      </c>
      <c r="J47" s="25">
        <v>14788</v>
      </c>
      <c r="K47" s="25">
        <v>51858</v>
      </c>
      <c r="L47" s="25">
        <v>40929</v>
      </c>
      <c r="M47" s="25">
        <v>43829</v>
      </c>
      <c r="N47" s="25">
        <v>52482</v>
      </c>
      <c r="O47" s="25">
        <v>24453</v>
      </c>
      <c r="P47" s="26"/>
      <c r="Q47" s="15">
        <f t="shared" si="2"/>
        <v>262250</v>
      </c>
      <c r="R47" s="25">
        <v>32747</v>
      </c>
      <c r="S47" s="25">
        <v>229503</v>
      </c>
      <c r="T47" s="25">
        <v>134557</v>
      </c>
      <c r="U47" s="25">
        <v>127693</v>
      </c>
      <c r="V47" s="25">
        <v>32775</v>
      </c>
      <c r="W47" s="25">
        <v>229475</v>
      </c>
      <c r="X47" s="25">
        <v>14877</v>
      </c>
      <c r="Y47" s="25">
        <v>45674</v>
      </c>
      <c r="Z47" s="25">
        <v>35337</v>
      </c>
      <c r="AA47" s="25">
        <v>49753</v>
      </c>
      <c r="AB47" s="25">
        <v>70762</v>
      </c>
      <c r="AC47" s="25">
        <v>45847</v>
      </c>
    </row>
    <row r="48" spans="1:29" s="1" customFormat="1" ht="13.8" x14ac:dyDescent="0.3">
      <c r="A48" s="42">
        <v>42704</v>
      </c>
      <c r="B48" s="14">
        <f t="shared" si="0"/>
        <v>486434</v>
      </c>
      <c r="C48" s="14">
        <f t="shared" si="1"/>
        <v>227262</v>
      </c>
      <c r="D48" s="25">
        <v>27379</v>
      </c>
      <c r="E48" s="25">
        <v>199883</v>
      </c>
      <c r="F48" s="25">
        <v>117364</v>
      </c>
      <c r="G48" s="25">
        <v>109898</v>
      </c>
      <c r="H48" s="25">
        <v>23098</v>
      </c>
      <c r="I48" s="25">
        <v>204164</v>
      </c>
      <c r="J48" s="25">
        <v>14727</v>
      </c>
      <c r="K48" s="25">
        <v>51385</v>
      </c>
      <c r="L48" s="25">
        <v>40967</v>
      </c>
      <c r="M48" s="25">
        <v>43932</v>
      </c>
      <c r="N48" s="25">
        <v>52494</v>
      </c>
      <c r="O48" s="25">
        <v>23757</v>
      </c>
      <c r="P48" s="26"/>
      <c r="Q48" s="15">
        <f t="shared" si="2"/>
        <v>259172</v>
      </c>
      <c r="R48" s="25">
        <v>31547</v>
      </c>
      <c r="S48" s="25">
        <v>227625</v>
      </c>
      <c r="T48" s="25">
        <v>133988</v>
      </c>
      <c r="U48" s="25">
        <v>125184</v>
      </c>
      <c r="V48" s="25">
        <v>31350</v>
      </c>
      <c r="W48" s="25">
        <v>227822</v>
      </c>
      <c r="X48" s="25">
        <v>14947</v>
      </c>
      <c r="Y48" s="25">
        <v>45606</v>
      </c>
      <c r="Z48" s="25">
        <v>35454</v>
      </c>
      <c r="AA48" s="25">
        <v>49802</v>
      </c>
      <c r="AB48" s="25">
        <v>70088</v>
      </c>
      <c r="AC48" s="25">
        <v>43275</v>
      </c>
    </row>
    <row r="49" spans="1:29" s="1" customFormat="1" ht="13.8" x14ac:dyDescent="0.3">
      <c r="A49" s="42">
        <v>42735</v>
      </c>
      <c r="B49" s="14">
        <f t="shared" si="0"/>
        <v>482556</v>
      </c>
      <c r="C49" s="14">
        <f t="shared" si="1"/>
        <v>227209</v>
      </c>
      <c r="D49" s="25">
        <v>25808</v>
      </c>
      <c r="E49" s="25">
        <v>201401</v>
      </c>
      <c r="F49" s="25">
        <v>118885</v>
      </c>
      <c r="G49" s="25">
        <v>108324</v>
      </c>
      <c r="H49" s="25">
        <v>21360</v>
      </c>
      <c r="I49" s="25">
        <v>205849</v>
      </c>
      <c r="J49" s="25">
        <v>14584</v>
      </c>
      <c r="K49" s="25">
        <v>51488</v>
      </c>
      <c r="L49" s="25">
        <v>42025</v>
      </c>
      <c r="M49" s="25">
        <v>44254</v>
      </c>
      <c r="N49" s="25">
        <v>51793</v>
      </c>
      <c r="O49" s="25">
        <v>23065</v>
      </c>
      <c r="P49" s="26"/>
      <c r="Q49" s="15">
        <f t="shared" si="2"/>
        <v>255347</v>
      </c>
      <c r="R49" s="25">
        <v>29526</v>
      </c>
      <c r="S49" s="25">
        <v>225821</v>
      </c>
      <c r="T49" s="25">
        <v>132116</v>
      </c>
      <c r="U49" s="25">
        <v>123231</v>
      </c>
      <c r="V49" s="25">
        <v>29600</v>
      </c>
      <c r="W49" s="25">
        <v>225747</v>
      </c>
      <c r="X49" s="25">
        <v>14932</v>
      </c>
      <c r="Y49" s="25">
        <v>45518</v>
      </c>
      <c r="Z49" s="25">
        <v>35623</v>
      </c>
      <c r="AA49" s="25">
        <v>49239</v>
      </c>
      <c r="AB49" s="25">
        <v>68546</v>
      </c>
      <c r="AC49" s="25">
        <v>41489</v>
      </c>
    </row>
    <row r="50" spans="1:29" s="1" customFormat="1" ht="13.8" x14ac:dyDescent="0.3">
      <c r="A50" s="42">
        <v>42766</v>
      </c>
      <c r="B50" s="14">
        <f t="shared" si="0"/>
        <v>464821</v>
      </c>
      <c r="C50" s="14">
        <f t="shared" si="1"/>
        <v>216344</v>
      </c>
      <c r="D50" s="17">
        <v>25306</v>
      </c>
      <c r="E50" s="17">
        <v>191038</v>
      </c>
      <c r="F50" s="17">
        <v>114838</v>
      </c>
      <c r="G50" s="17">
        <v>101506</v>
      </c>
      <c r="H50" s="17">
        <v>20753</v>
      </c>
      <c r="I50" s="17">
        <v>195591</v>
      </c>
      <c r="J50" s="17">
        <v>13587</v>
      </c>
      <c r="K50" s="17">
        <v>47401</v>
      </c>
      <c r="L50" s="17">
        <v>38602</v>
      </c>
      <c r="M50" s="17">
        <v>43149</v>
      </c>
      <c r="N50" s="17">
        <v>50845</v>
      </c>
      <c r="O50" s="17">
        <v>22760</v>
      </c>
      <c r="P50" s="26"/>
      <c r="Q50" s="15">
        <f t="shared" si="2"/>
        <v>248477</v>
      </c>
      <c r="R50" s="17">
        <v>28713</v>
      </c>
      <c r="S50" s="17">
        <v>219764</v>
      </c>
      <c r="T50" s="17">
        <v>130196</v>
      </c>
      <c r="U50" s="17">
        <v>118281</v>
      </c>
      <c r="V50" s="17">
        <v>28338</v>
      </c>
      <c r="W50" s="17">
        <v>220139</v>
      </c>
      <c r="X50" s="17">
        <v>14533</v>
      </c>
      <c r="Y50" s="17">
        <v>43221</v>
      </c>
      <c r="Z50" s="17">
        <v>33642</v>
      </c>
      <c r="AA50" s="17">
        <v>48574</v>
      </c>
      <c r="AB50" s="17">
        <v>67467</v>
      </c>
      <c r="AC50" s="17">
        <v>41040</v>
      </c>
    </row>
    <row r="51" spans="1:29" s="1" customFormat="1" ht="13.8" x14ac:dyDescent="0.3">
      <c r="A51" s="42">
        <v>42794</v>
      </c>
      <c r="B51" s="14">
        <f t="shared" si="0"/>
        <v>457920</v>
      </c>
      <c r="C51" s="14">
        <f t="shared" si="1"/>
        <v>212737</v>
      </c>
      <c r="D51" s="17">
        <v>25263</v>
      </c>
      <c r="E51" s="17">
        <v>187474</v>
      </c>
      <c r="F51" s="17">
        <v>112183</v>
      </c>
      <c r="G51" s="17">
        <v>100554</v>
      </c>
      <c r="H51" s="17">
        <v>20845</v>
      </c>
      <c r="I51" s="17">
        <v>191892</v>
      </c>
      <c r="J51" s="17">
        <v>13437</v>
      </c>
      <c r="K51" s="17">
        <v>46401</v>
      </c>
      <c r="L51" s="17">
        <v>37683</v>
      </c>
      <c r="M51" s="17">
        <v>42615</v>
      </c>
      <c r="N51" s="17">
        <v>50346</v>
      </c>
      <c r="O51" s="17">
        <v>22255</v>
      </c>
      <c r="P51" s="26"/>
      <c r="Q51" s="15">
        <f t="shared" si="2"/>
        <v>245183</v>
      </c>
      <c r="R51" s="17">
        <v>28651</v>
      </c>
      <c r="S51" s="17">
        <v>216532</v>
      </c>
      <c r="T51" s="17">
        <v>127584</v>
      </c>
      <c r="U51" s="17">
        <v>117599</v>
      </c>
      <c r="V51" s="17">
        <v>28060</v>
      </c>
      <c r="W51" s="17">
        <v>217123</v>
      </c>
      <c r="X51" s="17">
        <v>14421</v>
      </c>
      <c r="Y51" s="17">
        <v>42541</v>
      </c>
      <c r="Z51" s="17">
        <v>32816</v>
      </c>
      <c r="AA51" s="17">
        <v>48219</v>
      </c>
      <c r="AB51" s="17">
        <v>67245</v>
      </c>
      <c r="AC51" s="17">
        <v>39941</v>
      </c>
    </row>
    <row r="52" spans="1:29" s="1" customFormat="1" ht="13.8" x14ac:dyDescent="0.3">
      <c r="A52" s="42">
        <v>42825</v>
      </c>
      <c r="B52" s="14">
        <f t="shared" si="0"/>
        <v>471474</v>
      </c>
      <c r="C52" s="14">
        <f t="shared" si="1"/>
        <v>220202</v>
      </c>
      <c r="D52" s="17">
        <v>25993</v>
      </c>
      <c r="E52" s="17">
        <v>194209</v>
      </c>
      <c r="F52" s="17">
        <v>113953</v>
      </c>
      <c r="G52" s="17">
        <v>106249</v>
      </c>
      <c r="H52" s="17">
        <v>21692</v>
      </c>
      <c r="I52" s="17">
        <v>198510</v>
      </c>
      <c r="J52" s="17">
        <v>14224</v>
      </c>
      <c r="K52" s="17">
        <v>48729</v>
      </c>
      <c r="L52" s="17">
        <v>40069</v>
      </c>
      <c r="M52" s="17">
        <v>43583</v>
      </c>
      <c r="N52" s="17">
        <v>51108</v>
      </c>
      <c r="O52" s="17">
        <v>22489</v>
      </c>
      <c r="P52" s="26"/>
      <c r="Q52" s="15">
        <f t="shared" si="2"/>
        <v>251272</v>
      </c>
      <c r="R52" s="17">
        <v>29286</v>
      </c>
      <c r="S52" s="17">
        <v>221986</v>
      </c>
      <c r="T52" s="17">
        <v>129528</v>
      </c>
      <c r="U52" s="17">
        <v>121744</v>
      </c>
      <c r="V52" s="17">
        <v>29218</v>
      </c>
      <c r="W52" s="17">
        <v>222054</v>
      </c>
      <c r="X52" s="17">
        <v>14689</v>
      </c>
      <c r="Y52" s="17">
        <v>43788</v>
      </c>
      <c r="Z52" s="17">
        <v>34340</v>
      </c>
      <c r="AA52" s="17">
        <v>49501</v>
      </c>
      <c r="AB52" s="17">
        <v>68718</v>
      </c>
      <c r="AC52" s="17">
        <v>40236</v>
      </c>
    </row>
    <row r="53" spans="1:29" s="1" customFormat="1" ht="13.8" x14ac:dyDescent="0.3">
      <c r="A53" s="42">
        <v>42855</v>
      </c>
      <c r="B53" s="14">
        <f t="shared" si="0"/>
        <v>450961</v>
      </c>
      <c r="C53" s="14">
        <f t="shared" si="1"/>
        <v>210502</v>
      </c>
      <c r="D53" s="17">
        <v>23757</v>
      </c>
      <c r="E53" s="17">
        <v>186745</v>
      </c>
      <c r="F53" s="17">
        <v>106247</v>
      </c>
      <c r="G53" s="17">
        <v>104255</v>
      </c>
      <c r="H53" s="17">
        <v>20246</v>
      </c>
      <c r="I53" s="17">
        <v>190256</v>
      </c>
      <c r="J53" s="17">
        <v>13941</v>
      </c>
      <c r="K53" s="17">
        <v>47294</v>
      </c>
      <c r="L53" s="17">
        <v>38346</v>
      </c>
      <c r="M53" s="17">
        <v>41393</v>
      </c>
      <c r="N53" s="17">
        <v>48210</v>
      </c>
      <c r="O53" s="17">
        <v>21318</v>
      </c>
      <c r="P53" s="26"/>
      <c r="Q53" s="15">
        <f t="shared" si="2"/>
        <v>240459</v>
      </c>
      <c r="R53" s="17">
        <v>26938</v>
      </c>
      <c r="S53" s="17">
        <v>213521</v>
      </c>
      <c r="T53" s="17">
        <v>121018</v>
      </c>
      <c r="U53" s="17">
        <v>119441</v>
      </c>
      <c r="V53" s="17">
        <v>27612</v>
      </c>
      <c r="W53" s="17">
        <v>212847</v>
      </c>
      <c r="X53" s="17">
        <v>14498</v>
      </c>
      <c r="Y53" s="17">
        <v>42602</v>
      </c>
      <c r="Z53" s="17">
        <v>33151</v>
      </c>
      <c r="AA53" s="17">
        <v>47099</v>
      </c>
      <c r="AB53" s="17">
        <v>64994</v>
      </c>
      <c r="AC53" s="17">
        <v>38115</v>
      </c>
    </row>
    <row r="54" spans="1:29" s="1" customFormat="1" ht="13.8" x14ac:dyDescent="0.3">
      <c r="A54" s="42">
        <v>42886</v>
      </c>
      <c r="B54" s="14">
        <f t="shared" si="0"/>
        <v>404470</v>
      </c>
      <c r="C54" s="14">
        <f t="shared" si="1"/>
        <v>185776</v>
      </c>
      <c r="D54" s="17">
        <v>20151</v>
      </c>
      <c r="E54" s="17">
        <v>165625</v>
      </c>
      <c r="F54" s="17">
        <v>91710</v>
      </c>
      <c r="G54" s="17">
        <v>94066</v>
      </c>
      <c r="H54" s="17">
        <v>17897</v>
      </c>
      <c r="I54" s="17">
        <v>167879</v>
      </c>
      <c r="J54" s="17">
        <v>12434</v>
      </c>
      <c r="K54" s="17">
        <v>41689</v>
      </c>
      <c r="L54" s="17">
        <v>32983</v>
      </c>
      <c r="M54" s="17">
        <v>36217</v>
      </c>
      <c r="N54" s="17">
        <v>42788</v>
      </c>
      <c r="O54" s="17">
        <v>19665</v>
      </c>
      <c r="P54" s="26"/>
      <c r="Q54" s="15">
        <f t="shared" si="2"/>
        <v>218694</v>
      </c>
      <c r="R54" s="17">
        <v>23632</v>
      </c>
      <c r="S54" s="17">
        <v>195062</v>
      </c>
      <c r="T54" s="17">
        <v>108605</v>
      </c>
      <c r="U54" s="17">
        <v>110089</v>
      </c>
      <c r="V54" s="17">
        <v>24893</v>
      </c>
      <c r="W54" s="17">
        <v>193801</v>
      </c>
      <c r="X54" s="17">
        <v>13618</v>
      </c>
      <c r="Y54" s="17">
        <v>38901</v>
      </c>
      <c r="Z54" s="17">
        <v>29584</v>
      </c>
      <c r="AA54" s="17">
        <v>42477</v>
      </c>
      <c r="AB54" s="17">
        <v>58697</v>
      </c>
      <c r="AC54" s="17">
        <v>35417</v>
      </c>
    </row>
    <row r="55" spans="1:29" s="1" customFormat="1" ht="13.8" x14ac:dyDescent="0.3">
      <c r="A55" s="42">
        <v>42916</v>
      </c>
      <c r="B55" s="14">
        <f t="shared" si="0"/>
        <v>391541</v>
      </c>
      <c r="C55" s="14">
        <f t="shared" si="1"/>
        <v>177850</v>
      </c>
      <c r="D55" s="17">
        <v>18851</v>
      </c>
      <c r="E55" s="17">
        <v>158999</v>
      </c>
      <c r="F55" s="17">
        <v>86606</v>
      </c>
      <c r="G55" s="17">
        <v>91244</v>
      </c>
      <c r="H55" s="17">
        <v>17291</v>
      </c>
      <c r="I55" s="17">
        <v>160559</v>
      </c>
      <c r="J55" s="17">
        <v>12133</v>
      </c>
      <c r="K55" s="17">
        <v>40233</v>
      </c>
      <c r="L55" s="17">
        <v>31352</v>
      </c>
      <c r="M55" s="17">
        <v>34406</v>
      </c>
      <c r="N55" s="17">
        <v>40731</v>
      </c>
      <c r="O55" s="17">
        <v>18995</v>
      </c>
      <c r="P55" s="26"/>
      <c r="Q55" s="15">
        <f t="shared" si="2"/>
        <v>213691</v>
      </c>
      <c r="R55" s="17">
        <v>22201</v>
      </c>
      <c r="S55" s="17">
        <v>191490</v>
      </c>
      <c r="T55" s="17">
        <v>106294</v>
      </c>
      <c r="U55" s="17">
        <v>107397</v>
      </c>
      <c r="V55" s="17">
        <v>24142</v>
      </c>
      <c r="W55" s="17">
        <v>189549</v>
      </c>
      <c r="X55" s="17">
        <v>13530</v>
      </c>
      <c r="Y55" s="17">
        <v>38604</v>
      </c>
      <c r="Z55" s="17">
        <v>29062</v>
      </c>
      <c r="AA55" s="17">
        <v>41752</v>
      </c>
      <c r="AB55" s="17">
        <v>56390</v>
      </c>
      <c r="AC55" s="17">
        <v>34353</v>
      </c>
    </row>
    <row r="56" spans="1:29" s="1" customFormat="1" ht="13.8" x14ac:dyDescent="0.3">
      <c r="A56" s="42">
        <v>42947</v>
      </c>
      <c r="B56" s="14">
        <f t="shared" si="0"/>
        <v>390035</v>
      </c>
      <c r="C56" s="14">
        <f t="shared" si="1"/>
        <v>175041</v>
      </c>
      <c r="D56" s="17">
        <v>18779</v>
      </c>
      <c r="E56" s="17">
        <v>156262</v>
      </c>
      <c r="F56" s="17">
        <v>84933</v>
      </c>
      <c r="G56" s="17">
        <v>90108</v>
      </c>
      <c r="H56" s="17">
        <v>17460</v>
      </c>
      <c r="I56" s="17">
        <v>157581</v>
      </c>
      <c r="J56" s="17">
        <v>12119</v>
      </c>
      <c r="K56" s="17">
        <v>39661</v>
      </c>
      <c r="L56" s="17">
        <v>30421</v>
      </c>
      <c r="M56" s="17">
        <v>33302</v>
      </c>
      <c r="N56" s="17">
        <v>39943</v>
      </c>
      <c r="O56" s="17">
        <v>19595</v>
      </c>
      <c r="P56" s="26"/>
      <c r="Q56" s="15">
        <f t="shared" si="2"/>
        <v>214994</v>
      </c>
      <c r="R56" s="17">
        <v>22304</v>
      </c>
      <c r="S56" s="17">
        <v>192690</v>
      </c>
      <c r="T56" s="17">
        <v>107504</v>
      </c>
      <c r="U56" s="17">
        <v>107490</v>
      </c>
      <c r="V56" s="17">
        <v>24560</v>
      </c>
      <c r="W56" s="17">
        <v>190434</v>
      </c>
      <c r="X56" s="17">
        <v>13627</v>
      </c>
      <c r="Y56" s="17">
        <v>38529</v>
      </c>
      <c r="Z56" s="17">
        <v>28807</v>
      </c>
      <c r="AA56" s="17">
        <v>41440</v>
      </c>
      <c r="AB56" s="17">
        <v>56597</v>
      </c>
      <c r="AC56" s="17">
        <v>35994</v>
      </c>
    </row>
    <row r="57" spans="1:29" s="1" customFormat="1" ht="13.8" x14ac:dyDescent="0.3">
      <c r="A57" s="42">
        <v>42978</v>
      </c>
      <c r="B57" s="14">
        <f t="shared" si="0"/>
        <v>392182</v>
      </c>
      <c r="C57" s="14">
        <f t="shared" si="1"/>
        <v>174149</v>
      </c>
      <c r="D57" s="17">
        <v>19212</v>
      </c>
      <c r="E57" s="17">
        <v>154937</v>
      </c>
      <c r="F57" s="17">
        <v>85736</v>
      </c>
      <c r="G57" s="17">
        <v>88413</v>
      </c>
      <c r="H57" s="17">
        <v>18018</v>
      </c>
      <c r="I57" s="17">
        <v>156131</v>
      </c>
      <c r="J57" s="17">
        <v>11940</v>
      </c>
      <c r="K57" s="17">
        <v>38767</v>
      </c>
      <c r="L57" s="17">
        <v>29999</v>
      </c>
      <c r="M57" s="17">
        <v>33191</v>
      </c>
      <c r="N57" s="17">
        <v>40214</v>
      </c>
      <c r="O57" s="17">
        <v>20038</v>
      </c>
      <c r="P57" s="26"/>
      <c r="Q57" s="15">
        <f t="shared" si="2"/>
        <v>218033</v>
      </c>
      <c r="R57" s="17">
        <v>23353</v>
      </c>
      <c r="S57" s="17">
        <v>194680</v>
      </c>
      <c r="T57" s="17">
        <v>110672</v>
      </c>
      <c r="U57" s="17">
        <v>107361</v>
      </c>
      <c r="V57" s="17">
        <v>25700</v>
      </c>
      <c r="W57" s="17">
        <v>192333</v>
      </c>
      <c r="X57" s="17">
        <v>13518</v>
      </c>
      <c r="Y57" s="17">
        <v>38043</v>
      </c>
      <c r="Z57" s="17">
        <v>28862</v>
      </c>
      <c r="AA57" s="17">
        <v>41735</v>
      </c>
      <c r="AB57" s="17">
        <v>57749</v>
      </c>
      <c r="AC57" s="17">
        <v>38126</v>
      </c>
    </row>
    <row r="58" spans="1:29" s="1" customFormat="1" ht="13.8" x14ac:dyDescent="0.3">
      <c r="A58" s="42">
        <v>43008</v>
      </c>
      <c r="B58" s="14">
        <f t="shared" si="0"/>
        <v>385009</v>
      </c>
      <c r="C58" s="14">
        <f t="shared" si="1"/>
        <v>170824</v>
      </c>
      <c r="D58" s="17">
        <v>19632</v>
      </c>
      <c r="E58" s="17">
        <v>151192</v>
      </c>
      <c r="F58" s="17">
        <v>84637</v>
      </c>
      <c r="G58" s="17">
        <v>86187</v>
      </c>
      <c r="H58" s="17">
        <v>18119</v>
      </c>
      <c r="I58" s="17">
        <v>152705</v>
      </c>
      <c r="J58" s="17">
        <v>11661</v>
      </c>
      <c r="K58" s="17">
        <v>37211</v>
      </c>
      <c r="L58" s="17">
        <v>28895</v>
      </c>
      <c r="M58" s="17">
        <v>32333</v>
      </c>
      <c r="N58" s="17">
        <v>40417</v>
      </c>
      <c r="O58" s="17">
        <v>20307</v>
      </c>
      <c r="P58" s="26"/>
      <c r="Q58" s="15">
        <f t="shared" si="2"/>
        <v>214185</v>
      </c>
      <c r="R58" s="17">
        <v>24216</v>
      </c>
      <c r="S58" s="17">
        <v>189969</v>
      </c>
      <c r="T58" s="17">
        <v>108490</v>
      </c>
      <c r="U58" s="17">
        <v>105695</v>
      </c>
      <c r="V58" s="17">
        <v>26147</v>
      </c>
      <c r="W58" s="17">
        <v>188038</v>
      </c>
      <c r="X58" s="17">
        <v>13303</v>
      </c>
      <c r="Y58" s="17">
        <v>36320</v>
      </c>
      <c r="Z58" s="17">
        <v>27598</v>
      </c>
      <c r="AA58" s="17">
        <v>39998</v>
      </c>
      <c r="AB58" s="17">
        <v>57051</v>
      </c>
      <c r="AC58" s="17">
        <v>39915</v>
      </c>
    </row>
    <row r="59" spans="1:29" s="1" customFormat="1" ht="13.8" x14ac:dyDescent="0.3">
      <c r="A59" s="42">
        <v>43038</v>
      </c>
      <c r="B59" s="14">
        <f t="shared" si="0"/>
        <v>378786</v>
      </c>
      <c r="C59" s="14">
        <f t="shared" si="1"/>
        <v>169105</v>
      </c>
      <c r="D59" s="17">
        <v>19850</v>
      </c>
      <c r="E59" s="17">
        <v>149255</v>
      </c>
      <c r="F59" s="17">
        <v>85073</v>
      </c>
      <c r="G59" s="17">
        <v>84032</v>
      </c>
      <c r="H59" s="17">
        <v>18034</v>
      </c>
      <c r="I59" s="17">
        <v>151071</v>
      </c>
      <c r="J59" s="17">
        <v>11475</v>
      </c>
      <c r="K59" s="17">
        <v>36488</v>
      </c>
      <c r="L59" s="17">
        <v>28273</v>
      </c>
      <c r="M59" s="17">
        <v>32252</v>
      </c>
      <c r="N59" s="17">
        <v>41031</v>
      </c>
      <c r="O59" s="17">
        <v>19586</v>
      </c>
      <c r="P59" s="26"/>
      <c r="Q59" s="15">
        <f t="shared" si="2"/>
        <v>209681</v>
      </c>
      <c r="R59" s="17">
        <v>24452</v>
      </c>
      <c r="S59" s="17">
        <v>185229</v>
      </c>
      <c r="T59" s="17">
        <v>106856</v>
      </c>
      <c r="U59" s="17">
        <v>102825</v>
      </c>
      <c r="V59" s="17">
        <v>26086</v>
      </c>
      <c r="W59" s="17">
        <v>183595</v>
      </c>
      <c r="X59" s="17">
        <v>13212</v>
      </c>
      <c r="Y59" s="17">
        <v>35809</v>
      </c>
      <c r="Z59" s="17">
        <v>27132</v>
      </c>
      <c r="AA59" s="17">
        <v>39416</v>
      </c>
      <c r="AB59" s="17">
        <v>56770</v>
      </c>
      <c r="AC59" s="17">
        <v>37342</v>
      </c>
    </row>
    <row r="60" spans="1:29" s="1" customFormat="1" ht="13.8" x14ac:dyDescent="0.3">
      <c r="A60" s="42">
        <v>43069</v>
      </c>
      <c r="B60" s="14">
        <f t="shared" si="0"/>
        <v>378870</v>
      </c>
      <c r="C60" s="14">
        <f t="shared" si="1"/>
        <v>170149</v>
      </c>
      <c r="D60" s="17">
        <v>19969</v>
      </c>
      <c r="E60" s="17">
        <v>150180</v>
      </c>
      <c r="F60" s="17">
        <v>88498</v>
      </c>
      <c r="G60" s="17">
        <v>81651</v>
      </c>
      <c r="H60" s="17">
        <v>17563</v>
      </c>
      <c r="I60" s="17">
        <v>152586</v>
      </c>
      <c r="J60" s="17">
        <v>11444</v>
      </c>
      <c r="K60" s="17">
        <v>35900</v>
      </c>
      <c r="L60" s="17">
        <v>27959</v>
      </c>
      <c r="M60" s="17">
        <v>33078</v>
      </c>
      <c r="N60" s="17">
        <v>42082</v>
      </c>
      <c r="O60" s="17">
        <v>19686</v>
      </c>
      <c r="P60" s="26"/>
      <c r="Q60" s="15">
        <f t="shared" si="2"/>
        <v>208721</v>
      </c>
      <c r="R60" s="17">
        <v>24039</v>
      </c>
      <c r="S60" s="17">
        <v>184682</v>
      </c>
      <c r="T60" s="17">
        <v>108684</v>
      </c>
      <c r="U60" s="17">
        <v>100037</v>
      </c>
      <c r="V60" s="17">
        <v>25515</v>
      </c>
      <c r="W60" s="17">
        <v>183206</v>
      </c>
      <c r="X60" s="17">
        <v>13188</v>
      </c>
      <c r="Y60" s="17">
        <v>35313</v>
      </c>
      <c r="Z60" s="17">
        <v>26564</v>
      </c>
      <c r="AA60" s="17">
        <v>39920</v>
      </c>
      <c r="AB60" s="17">
        <v>57545</v>
      </c>
      <c r="AC60" s="17">
        <v>36191</v>
      </c>
    </row>
    <row r="61" spans="1:29" s="1" customFormat="1" ht="13.8" x14ac:dyDescent="0.3">
      <c r="A61" s="42">
        <v>43100</v>
      </c>
      <c r="B61" s="14">
        <f t="shared" si="0"/>
        <v>377791</v>
      </c>
      <c r="C61" s="14">
        <f t="shared" si="1"/>
        <v>170579</v>
      </c>
      <c r="D61" s="17">
        <v>18597</v>
      </c>
      <c r="E61" s="17">
        <v>151982</v>
      </c>
      <c r="F61" s="17">
        <v>89754</v>
      </c>
      <c r="G61" s="17">
        <v>80825</v>
      </c>
      <c r="H61" s="17">
        <v>16165</v>
      </c>
      <c r="I61" s="17">
        <v>154414</v>
      </c>
      <c r="J61" s="17">
        <v>11396</v>
      </c>
      <c r="K61" s="17">
        <v>36229</v>
      </c>
      <c r="L61" s="17">
        <v>28692</v>
      </c>
      <c r="M61" s="17">
        <v>33604</v>
      </c>
      <c r="N61" s="17">
        <v>41525</v>
      </c>
      <c r="O61" s="17">
        <v>19133</v>
      </c>
      <c r="P61" s="26"/>
      <c r="Q61" s="15">
        <f t="shared" si="2"/>
        <v>207212</v>
      </c>
      <c r="R61" s="17">
        <v>22139</v>
      </c>
      <c r="S61" s="17">
        <v>185073</v>
      </c>
      <c r="T61" s="17">
        <v>107720</v>
      </c>
      <c r="U61" s="17">
        <v>99492</v>
      </c>
      <c r="V61" s="17">
        <v>23782</v>
      </c>
      <c r="W61" s="17">
        <v>183430</v>
      </c>
      <c r="X61" s="17">
        <v>13190</v>
      </c>
      <c r="Y61" s="17">
        <v>35648</v>
      </c>
      <c r="Z61" s="17">
        <v>26782</v>
      </c>
      <c r="AA61" s="17">
        <v>40353</v>
      </c>
      <c r="AB61" s="17">
        <v>56673</v>
      </c>
      <c r="AC61" s="17">
        <v>34566</v>
      </c>
    </row>
    <row r="62" spans="1:29" s="1" customFormat="1" ht="13.8" x14ac:dyDescent="0.3">
      <c r="A62" s="42">
        <v>43131</v>
      </c>
      <c r="B62" s="14">
        <f t="shared" si="0"/>
        <v>389580</v>
      </c>
      <c r="C62" s="14">
        <f t="shared" si="1"/>
        <v>174846</v>
      </c>
      <c r="D62" s="18">
        <v>19847</v>
      </c>
      <c r="E62" s="18">
        <v>154999</v>
      </c>
      <c r="F62" s="18">
        <v>93182</v>
      </c>
      <c r="G62" s="18">
        <v>81664</v>
      </c>
      <c r="H62" s="18">
        <v>16798</v>
      </c>
      <c r="I62" s="18">
        <v>158048</v>
      </c>
      <c r="J62" s="18">
        <v>11570</v>
      </c>
      <c r="K62" s="18">
        <v>36290</v>
      </c>
      <c r="L62" s="18">
        <v>29403</v>
      </c>
      <c r="M62" s="18">
        <v>34707</v>
      </c>
      <c r="N62" s="18">
        <v>43271</v>
      </c>
      <c r="O62" s="18">
        <v>19605</v>
      </c>
      <c r="P62" s="26"/>
      <c r="Q62" s="15">
        <f t="shared" si="2"/>
        <v>214734</v>
      </c>
      <c r="R62" s="18">
        <v>23539</v>
      </c>
      <c r="S62" s="18">
        <v>191195</v>
      </c>
      <c r="T62" s="18">
        <v>113971</v>
      </c>
      <c r="U62" s="18">
        <v>100763</v>
      </c>
      <c r="V62" s="18">
        <v>24635</v>
      </c>
      <c r="W62" s="18">
        <v>190099</v>
      </c>
      <c r="X62" s="18">
        <v>13346</v>
      </c>
      <c r="Y62" s="18">
        <v>36099</v>
      </c>
      <c r="Z62" s="18">
        <v>27907</v>
      </c>
      <c r="AA62" s="18">
        <v>41946</v>
      </c>
      <c r="AB62" s="18">
        <v>59754</v>
      </c>
      <c r="AC62" s="18">
        <v>35682</v>
      </c>
    </row>
    <row r="63" spans="1:29" s="1" customFormat="1" ht="13.8" x14ac:dyDescent="0.3">
      <c r="A63" s="42">
        <v>43159</v>
      </c>
      <c r="B63" s="14">
        <f t="shared" si="0"/>
        <v>378674</v>
      </c>
      <c r="C63" s="14">
        <f t="shared" si="1"/>
        <v>170095</v>
      </c>
      <c r="D63" s="18">
        <v>19123</v>
      </c>
      <c r="E63" s="18">
        <v>150972</v>
      </c>
      <c r="F63" s="18">
        <v>90305</v>
      </c>
      <c r="G63" s="18">
        <v>79790</v>
      </c>
      <c r="H63" s="18">
        <v>16208</v>
      </c>
      <c r="I63" s="18">
        <v>153887</v>
      </c>
      <c r="J63" s="18">
        <v>11485</v>
      </c>
      <c r="K63" s="18">
        <v>35414</v>
      </c>
      <c r="L63" s="18">
        <v>28707</v>
      </c>
      <c r="M63" s="18">
        <v>33526</v>
      </c>
      <c r="N63" s="18">
        <v>41912</v>
      </c>
      <c r="O63" s="18">
        <v>19051</v>
      </c>
      <c r="P63" s="26"/>
      <c r="Q63" s="15">
        <f t="shared" si="2"/>
        <v>208579</v>
      </c>
      <c r="R63" s="18">
        <v>22540</v>
      </c>
      <c r="S63" s="18">
        <v>186039</v>
      </c>
      <c r="T63" s="18">
        <v>110785</v>
      </c>
      <c r="U63" s="18">
        <v>97794</v>
      </c>
      <c r="V63" s="18">
        <v>23803</v>
      </c>
      <c r="W63" s="18">
        <v>184776</v>
      </c>
      <c r="X63" s="18">
        <v>13219</v>
      </c>
      <c r="Y63" s="18">
        <v>35219</v>
      </c>
      <c r="Z63" s="18">
        <v>27204</v>
      </c>
      <c r="AA63" s="18">
        <v>40573</v>
      </c>
      <c r="AB63" s="18">
        <v>58014</v>
      </c>
      <c r="AC63" s="18">
        <v>34350</v>
      </c>
    </row>
    <row r="64" spans="1:29" s="1" customFormat="1" ht="13.8" x14ac:dyDescent="0.3">
      <c r="A64" s="42">
        <v>43190</v>
      </c>
      <c r="B64" s="14">
        <f t="shared" si="0"/>
        <v>367458</v>
      </c>
      <c r="C64" s="14">
        <f t="shared" si="1"/>
        <v>164679</v>
      </c>
      <c r="D64" s="19">
        <v>17763</v>
      </c>
      <c r="E64" s="19">
        <v>146916</v>
      </c>
      <c r="F64" s="19">
        <v>85853</v>
      </c>
      <c r="G64" s="19">
        <v>78826</v>
      </c>
      <c r="H64" s="19">
        <v>15661</v>
      </c>
      <c r="I64" s="19">
        <v>149018</v>
      </c>
      <c r="J64" s="19">
        <v>11456</v>
      </c>
      <c r="K64" s="19">
        <v>35050</v>
      </c>
      <c r="L64" s="19">
        <v>27992</v>
      </c>
      <c r="M64" s="19">
        <v>32227</v>
      </c>
      <c r="N64" s="19">
        <v>39552</v>
      </c>
      <c r="O64" s="19">
        <v>18402</v>
      </c>
      <c r="P64" s="26"/>
      <c r="Q64" s="15">
        <f t="shared" si="2"/>
        <v>202779</v>
      </c>
      <c r="R64" s="19">
        <v>21226</v>
      </c>
      <c r="S64" s="19">
        <v>181553</v>
      </c>
      <c r="T64" s="19">
        <v>105781</v>
      </c>
      <c r="U64" s="19">
        <v>96998</v>
      </c>
      <c r="V64" s="19">
        <v>23154</v>
      </c>
      <c r="W64" s="19">
        <v>179625</v>
      </c>
      <c r="X64" s="19">
        <v>13143</v>
      </c>
      <c r="Y64" s="19">
        <v>34908</v>
      </c>
      <c r="Z64" s="19">
        <v>26840</v>
      </c>
      <c r="AA64" s="19">
        <v>39275</v>
      </c>
      <c r="AB64" s="19">
        <v>55322</v>
      </c>
      <c r="AC64" s="19">
        <v>33291</v>
      </c>
    </row>
    <row r="65" spans="1:29" s="1" customFormat="1" ht="13.8" x14ac:dyDescent="0.3">
      <c r="A65" s="42">
        <v>43220</v>
      </c>
      <c r="B65" s="14">
        <f t="shared" si="0"/>
        <v>350209</v>
      </c>
      <c r="C65" s="14">
        <f t="shared" si="1"/>
        <v>156521</v>
      </c>
      <c r="D65" s="19">
        <v>16182</v>
      </c>
      <c r="E65" s="19">
        <v>140339</v>
      </c>
      <c r="F65" s="19">
        <v>80251</v>
      </c>
      <c r="G65" s="19">
        <v>76270</v>
      </c>
      <c r="H65" s="19">
        <v>14673</v>
      </c>
      <c r="I65" s="19">
        <v>141848</v>
      </c>
      <c r="J65" s="19">
        <v>11237</v>
      </c>
      <c r="K65" s="19">
        <v>33673</v>
      </c>
      <c r="L65" s="19">
        <v>26596</v>
      </c>
      <c r="M65" s="19">
        <v>30387</v>
      </c>
      <c r="N65" s="19">
        <v>37275</v>
      </c>
      <c r="O65" s="19">
        <v>17353</v>
      </c>
      <c r="P65" s="26"/>
      <c r="Q65" s="15">
        <f t="shared" si="2"/>
        <v>193688</v>
      </c>
      <c r="R65" s="19">
        <v>19587</v>
      </c>
      <c r="S65" s="19">
        <v>174101</v>
      </c>
      <c r="T65" s="19">
        <v>99957</v>
      </c>
      <c r="U65" s="19">
        <v>93731</v>
      </c>
      <c r="V65" s="19">
        <v>21793</v>
      </c>
      <c r="W65" s="19">
        <v>171895</v>
      </c>
      <c r="X65" s="19">
        <v>12981</v>
      </c>
      <c r="Y65" s="19">
        <v>33622</v>
      </c>
      <c r="Z65" s="19">
        <v>25645</v>
      </c>
      <c r="AA65" s="19">
        <v>37647</v>
      </c>
      <c r="AB65" s="19">
        <v>52439</v>
      </c>
      <c r="AC65" s="19">
        <v>31354</v>
      </c>
    </row>
    <row r="66" spans="1:29" s="1" customFormat="1" ht="13.8" x14ac:dyDescent="0.3">
      <c r="A66" s="42">
        <v>43251</v>
      </c>
      <c r="B66" s="14">
        <f t="shared" si="0"/>
        <v>350174</v>
      </c>
      <c r="C66" s="14">
        <f t="shared" si="1"/>
        <v>158011</v>
      </c>
      <c r="D66" s="19">
        <v>15913</v>
      </c>
      <c r="E66" s="19">
        <v>142098</v>
      </c>
      <c r="F66" s="19">
        <v>79433</v>
      </c>
      <c r="G66" s="19">
        <v>78578</v>
      </c>
      <c r="H66" s="19">
        <v>14512</v>
      </c>
      <c r="I66" s="19">
        <v>143499</v>
      </c>
      <c r="J66" s="19">
        <v>11684</v>
      </c>
      <c r="K66" s="19">
        <v>34431</v>
      </c>
      <c r="L66" s="19">
        <v>27756</v>
      </c>
      <c r="M66" s="19">
        <v>30553</v>
      </c>
      <c r="N66" s="19">
        <v>36902</v>
      </c>
      <c r="O66" s="19">
        <v>16685</v>
      </c>
      <c r="P66" s="26"/>
      <c r="Q66" s="15">
        <f t="shared" si="2"/>
        <v>192163</v>
      </c>
      <c r="R66" s="19">
        <v>19149</v>
      </c>
      <c r="S66" s="19">
        <v>173014</v>
      </c>
      <c r="T66" s="19">
        <v>98289</v>
      </c>
      <c r="U66" s="19">
        <v>93874</v>
      </c>
      <c r="V66" s="19">
        <v>21378</v>
      </c>
      <c r="W66" s="19">
        <v>170785</v>
      </c>
      <c r="X66" s="19">
        <v>12871</v>
      </c>
      <c r="Y66" s="19">
        <v>33637</v>
      </c>
      <c r="Z66" s="19">
        <v>26233</v>
      </c>
      <c r="AA66" s="19">
        <v>36905</v>
      </c>
      <c r="AB66" s="19">
        <v>52472</v>
      </c>
      <c r="AC66" s="19">
        <v>30045</v>
      </c>
    </row>
    <row r="67" spans="1:29" s="1" customFormat="1" ht="13.8" x14ac:dyDescent="0.3">
      <c r="A67" s="42">
        <v>43281</v>
      </c>
      <c r="B67" s="14">
        <f t="shared" ref="B67:B109" si="3">C67+Q67</f>
        <v>332395</v>
      </c>
      <c r="C67" s="14">
        <f t="shared" ref="C67:C109" si="4">SUM(D67:E67)</f>
        <v>147684</v>
      </c>
      <c r="D67" s="19">
        <v>14174</v>
      </c>
      <c r="E67" s="19">
        <v>133510</v>
      </c>
      <c r="F67" s="19">
        <v>73415</v>
      </c>
      <c r="G67" s="19">
        <v>74269</v>
      </c>
      <c r="H67" s="19">
        <v>13150</v>
      </c>
      <c r="I67" s="19">
        <v>134534</v>
      </c>
      <c r="J67" s="19">
        <v>11219</v>
      </c>
      <c r="K67" s="19">
        <v>32613</v>
      </c>
      <c r="L67" s="19">
        <v>25811</v>
      </c>
      <c r="M67" s="19">
        <v>28554</v>
      </c>
      <c r="N67" s="19">
        <v>34205</v>
      </c>
      <c r="O67" s="19">
        <v>15282</v>
      </c>
      <c r="P67" s="26"/>
      <c r="Q67" s="15">
        <f t="shared" ref="Q67:Q109" si="5">SUM(R67:S67)</f>
        <v>184711</v>
      </c>
      <c r="R67" s="19">
        <v>17359</v>
      </c>
      <c r="S67" s="19">
        <v>167352</v>
      </c>
      <c r="T67" s="19">
        <v>96230</v>
      </c>
      <c r="U67" s="19">
        <v>88481</v>
      </c>
      <c r="V67" s="19">
        <v>19753</v>
      </c>
      <c r="W67" s="19">
        <v>164958</v>
      </c>
      <c r="X67" s="19">
        <v>12562</v>
      </c>
      <c r="Y67" s="19">
        <v>32631</v>
      </c>
      <c r="Z67" s="19">
        <v>25648</v>
      </c>
      <c r="AA67" s="19">
        <v>36212</v>
      </c>
      <c r="AB67" s="19">
        <v>49992</v>
      </c>
      <c r="AC67" s="19">
        <v>27666</v>
      </c>
    </row>
    <row r="68" spans="1:29" s="1" customFormat="1" ht="13.8" x14ac:dyDescent="0.3">
      <c r="A68" s="42">
        <v>43312</v>
      </c>
      <c r="B68" s="14">
        <f t="shared" si="3"/>
        <v>306779</v>
      </c>
      <c r="C68" s="14">
        <f t="shared" si="4"/>
        <v>133442</v>
      </c>
      <c r="D68" s="18">
        <v>12537</v>
      </c>
      <c r="E68" s="18">
        <v>120905</v>
      </c>
      <c r="F68" s="18">
        <v>66874</v>
      </c>
      <c r="G68" s="18">
        <v>66568</v>
      </c>
      <c r="H68" s="18">
        <v>12120</v>
      </c>
      <c r="I68" s="18">
        <v>121322</v>
      </c>
      <c r="J68" s="18">
        <v>10387</v>
      </c>
      <c r="K68" s="18">
        <v>28822</v>
      </c>
      <c r="L68" s="18">
        <v>22340</v>
      </c>
      <c r="M68" s="18">
        <v>25681</v>
      </c>
      <c r="N68" s="18">
        <v>31508</v>
      </c>
      <c r="O68" s="18">
        <v>14704</v>
      </c>
      <c r="P68" s="26"/>
      <c r="Q68" s="15">
        <f t="shared" si="5"/>
        <v>173337</v>
      </c>
      <c r="R68" s="18">
        <v>15687</v>
      </c>
      <c r="S68" s="18">
        <v>157650</v>
      </c>
      <c r="T68" s="18">
        <v>91437</v>
      </c>
      <c r="U68" s="18">
        <v>81900</v>
      </c>
      <c r="V68" s="18">
        <v>18511</v>
      </c>
      <c r="W68" s="18">
        <v>154826</v>
      </c>
      <c r="X68" s="18">
        <v>12115</v>
      </c>
      <c r="Y68" s="18">
        <v>30166</v>
      </c>
      <c r="Z68" s="18">
        <v>23189</v>
      </c>
      <c r="AA68" s="18">
        <v>34132</v>
      </c>
      <c r="AB68" s="18">
        <v>46408</v>
      </c>
      <c r="AC68" s="18">
        <v>27327</v>
      </c>
    </row>
    <row r="69" spans="1:29" s="1" customFormat="1" ht="13.8" x14ac:dyDescent="0.3">
      <c r="A69" s="42">
        <v>43343</v>
      </c>
      <c r="B69" s="14">
        <f t="shared" si="3"/>
        <v>314419</v>
      </c>
      <c r="C69" s="14">
        <f t="shared" si="4"/>
        <v>134761</v>
      </c>
      <c r="D69" s="18">
        <v>13205</v>
      </c>
      <c r="E69" s="18">
        <v>121556</v>
      </c>
      <c r="F69" s="18">
        <v>69197</v>
      </c>
      <c r="G69" s="18">
        <v>65564</v>
      </c>
      <c r="H69" s="18">
        <v>12693</v>
      </c>
      <c r="I69" s="18">
        <v>122068</v>
      </c>
      <c r="J69" s="18">
        <v>10268</v>
      </c>
      <c r="K69" s="18">
        <v>28306</v>
      </c>
      <c r="L69" s="18">
        <v>22220</v>
      </c>
      <c r="M69" s="18">
        <v>25856</v>
      </c>
      <c r="N69" s="18">
        <v>32399</v>
      </c>
      <c r="O69" s="18">
        <v>15712</v>
      </c>
      <c r="P69" s="26"/>
      <c r="Q69" s="15">
        <f t="shared" si="5"/>
        <v>179658</v>
      </c>
      <c r="R69" s="18">
        <v>17052</v>
      </c>
      <c r="S69" s="18">
        <v>162606</v>
      </c>
      <c r="T69" s="18">
        <v>97045</v>
      </c>
      <c r="U69" s="18">
        <v>82613</v>
      </c>
      <c r="V69" s="18">
        <v>19628</v>
      </c>
      <c r="W69" s="18">
        <v>160030</v>
      </c>
      <c r="X69" s="18">
        <v>12143</v>
      </c>
      <c r="Y69" s="18">
        <v>30021</v>
      </c>
      <c r="Z69" s="18">
        <v>23335</v>
      </c>
      <c r="AA69" s="18">
        <v>35103</v>
      </c>
      <c r="AB69" s="18">
        <v>48482</v>
      </c>
      <c r="AC69" s="18">
        <v>30574</v>
      </c>
    </row>
    <row r="70" spans="1:29" s="1" customFormat="1" ht="13.8" x14ac:dyDescent="0.3">
      <c r="A70" s="42">
        <v>43373</v>
      </c>
      <c r="B70" s="14">
        <f t="shared" si="3"/>
        <v>315406</v>
      </c>
      <c r="C70" s="14">
        <f t="shared" si="4"/>
        <v>134916</v>
      </c>
      <c r="D70" s="19">
        <v>14449</v>
      </c>
      <c r="E70" s="19">
        <v>120467</v>
      </c>
      <c r="F70" s="19">
        <v>70238</v>
      </c>
      <c r="G70" s="19">
        <v>64678</v>
      </c>
      <c r="H70" s="19">
        <v>13663</v>
      </c>
      <c r="I70" s="19">
        <v>121253</v>
      </c>
      <c r="J70" s="19">
        <v>10210</v>
      </c>
      <c r="K70" s="19">
        <v>27718</v>
      </c>
      <c r="L70" s="19">
        <v>21742</v>
      </c>
      <c r="M70" s="19">
        <v>25815</v>
      </c>
      <c r="N70" s="19">
        <v>33044</v>
      </c>
      <c r="O70" s="19">
        <v>16387</v>
      </c>
      <c r="P70" s="26"/>
      <c r="Q70" s="15">
        <f t="shared" si="5"/>
        <v>180490</v>
      </c>
      <c r="R70" s="19">
        <v>18884</v>
      </c>
      <c r="S70" s="19">
        <v>161606</v>
      </c>
      <c r="T70" s="19">
        <v>97976</v>
      </c>
      <c r="U70" s="19">
        <v>82514</v>
      </c>
      <c r="V70" s="19">
        <v>21171</v>
      </c>
      <c r="W70" s="19">
        <v>159319</v>
      </c>
      <c r="X70" s="19">
        <v>12238</v>
      </c>
      <c r="Y70" s="19">
        <v>29284</v>
      </c>
      <c r="Z70" s="19">
        <v>22460</v>
      </c>
      <c r="AA70" s="19">
        <v>33929</v>
      </c>
      <c r="AB70" s="19">
        <v>48858</v>
      </c>
      <c r="AC70" s="19">
        <v>33721</v>
      </c>
    </row>
    <row r="71" spans="1:29" s="1" customFormat="1" ht="13.8" x14ac:dyDescent="0.3">
      <c r="A71" s="42">
        <v>43403</v>
      </c>
      <c r="B71" s="14">
        <f t="shared" si="3"/>
        <v>310556</v>
      </c>
      <c r="C71" s="14">
        <f t="shared" si="4"/>
        <v>134163</v>
      </c>
      <c r="D71" s="19">
        <v>14953</v>
      </c>
      <c r="E71" s="19">
        <v>119210</v>
      </c>
      <c r="F71" s="19">
        <v>71707</v>
      </c>
      <c r="G71" s="19">
        <v>62456</v>
      </c>
      <c r="H71" s="19">
        <v>13413</v>
      </c>
      <c r="I71" s="19">
        <v>120750</v>
      </c>
      <c r="J71" s="19">
        <v>9958</v>
      </c>
      <c r="K71" s="19">
        <v>27076</v>
      </c>
      <c r="L71" s="19">
        <v>21638</v>
      </c>
      <c r="M71" s="19">
        <v>25845</v>
      </c>
      <c r="N71" s="19">
        <v>33689</v>
      </c>
      <c r="O71" s="19">
        <v>15957</v>
      </c>
      <c r="P71" s="26"/>
      <c r="Q71" s="15">
        <f t="shared" si="5"/>
        <v>176393</v>
      </c>
      <c r="R71" s="19">
        <v>19493</v>
      </c>
      <c r="S71" s="19">
        <v>156900</v>
      </c>
      <c r="T71" s="19">
        <v>97066</v>
      </c>
      <c r="U71" s="19">
        <v>79327</v>
      </c>
      <c r="V71" s="19">
        <v>20861</v>
      </c>
      <c r="W71" s="19">
        <v>155532</v>
      </c>
      <c r="X71" s="19">
        <v>12056</v>
      </c>
      <c r="Y71" s="19">
        <v>28444</v>
      </c>
      <c r="Z71" s="19">
        <v>22122</v>
      </c>
      <c r="AA71" s="19">
        <v>33199</v>
      </c>
      <c r="AB71" s="19">
        <v>48990</v>
      </c>
      <c r="AC71" s="19">
        <v>31582</v>
      </c>
    </row>
    <row r="72" spans="1:29" s="1" customFormat="1" ht="13.8" x14ac:dyDescent="0.3">
      <c r="A72" s="42">
        <v>43434</v>
      </c>
      <c r="B72" s="14">
        <f t="shared" si="3"/>
        <v>310931</v>
      </c>
      <c r="C72" s="14">
        <f t="shared" si="4"/>
        <v>135790</v>
      </c>
      <c r="D72" s="18">
        <v>15120</v>
      </c>
      <c r="E72" s="18">
        <v>120670</v>
      </c>
      <c r="F72" s="18">
        <v>75259</v>
      </c>
      <c r="G72" s="18">
        <v>60531</v>
      </c>
      <c r="H72" s="18">
        <v>12613</v>
      </c>
      <c r="I72" s="18">
        <v>123177</v>
      </c>
      <c r="J72" s="18">
        <v>10068</v>
      </c>
      <c r="K72" s="18">
        <v>26849</v>
      </c>
      <c r="L72" s="18">
        <v>21873</v>
      </c>
      <c r="M72" s="18">
        <v>26672</v>
      </c>
      <c r="N72" s="18">
        <v>34723</v>
      </c>
      <c r="O72" s="18">
        <v>15605</v>
      </c>
      <c r="P72" s="26"/>
      <c r="Q72" s="15">
        <f t="shared" si="5"/>
        <v>175141</v>
      </c>
      <c r="R72" s="18">
        <v>18912</v>
      </c>
      <c r="S72" s="18">
        <v>156229</v>
      </c>
      <c r="T72" s="18">
        <v>98440</v>
      </c>
      <c r="U72" s="18">
        <v>76701</v>
      </c>
      <c r="V72" s="18">
        <v>19895</v>
      </c>
      <c r="W72" s="18">
        <v>155246</v>
      </c>
      <c r="X72" s="18">
        <v>12177</v>
      </c>
      <c r="Y72" s="18">
        <v>28512</v>
      </c>
      <c r="Z72" s="18">
        <v>22087</v>
      </c>
      <c r="AA72" s="18">
        <v>33694</v>
      </c>
      <c r="AB72" s="18">
        <v>48908</v>
      </c>
      <c r="AC72" s="18">
        <v>29763</v>
      </c>
    </row>
    <row r="73" spans="1:29" s="1" customFormat="1" ht="13.8" x14ac:dyDescent="0.3">
      <c r="A73" s="42">
        <v>43465</v>
      </c>
      <c r="B73" s="14">
        <f t="shared" si="3"/>
        <v>315093</v>
      </c>
      <c r="C73" s="14">
        <f t="shared" si="4"/>
        <v>138705</v>
      </c>
      <c r="D73" s="18">
        <v>14375</v>
      </c>
      <c r="E73" s="18">
        <v>124330</v>
      </c>
      <c r="F73" s="18">
        <v>78469</v>
      </c>
      <c r="G73" s="18">
        <v>60236</v>
      </c>
      <c r="H73" s="18">
        <v>11686</v>
      </c>
      <c r="I73" s="18">
        <v>127019</v>
      </c>
      <c r="J73" s="18">
        <v>10150</v>
      </c>
      <c r="K73" s="18">
        <v>27248</v>
      </c>
      <c r="L73" s="18">
        <v>22899</v>
      </c>
      <c r="M73" s="18">
        <v>28023</v>
      </c>
      <c r="N73" s="18">
        <v>35237</v>
      </c>
      <c r="O73" s="18">
        <v>15148</v>
      </c>
      <c r="P73" s="26"/>
      <c r="Q73" s="15">
        <f t="shared" si="5"/>
        <v>176388</v>
      </c>
      <c r="R73" s="18">
        <v>17322</v>
      </c>
      <c r="S73" s="18">
        <v>159066</v>
      </c>
      <c r="T73" s="18">
        <v>99258</v>
      </c>
      <c r="U73" s="18">
        <v>77130</v>
      </c>
      <c r="V73" s="18">
        <v>18402</v>
      </c>
      <c r="W73" s="18">
        <v>157986</v>
      </c>
      <c r="X73" s="18">
        <v>12226</v>
      </c>
      <c r="Y73" s="18">
        <v>28954</v>
      </c>
      <c r="Z73" s="18">
        <v>22561</v>
      </c>
      <c r="AA73" s="18">
        <v>34903</v>
      </c>
      <c r="AB73" s="18">
        <v>49314</v>
      </c>
      <c r="AC73" s="18">
        <v>28430</v>
      </c>
    </row>
    <row r="74" spans="1:29" s="1" customFormat="1" ht="13.8" x14ac:dyDescent="0.3">
      <c r="A74" s="39">
        <v>43496</v>
      </c>
      <c r="B74" s="14">
        <f t="shared" si="3"/>
        <v>180376</v>
      </c>
      <c r="C74" s="14">
        <f t="shared" si="4"/>
        <v>143150</v>
      </c>
      <c r="D74" s="18">
        <v>15536</v>
      </c>
      <c r="E74" s="18">
        <v>127614</v>
      </c>
      <c r="F74" s="18">
        <v>82376</v>
      </c>
      <c r="G74" s="18">
        <v>60774</v>
      </c>
      <c r="H74" s="18">
        <v>12255</v>
      </c>
      <c r="I74" s="18">
        <v>130895</v>
      </c>
      <c r="J74" s="18">
        <v>10280</v>
      </c>
      <c r="K74" s="18">
        <v>27264</v>
      </c>
      <c r="L74" s="18">
        <v>23608</v>
      </c>
      <c r="M74" s="18">
        <v>29201</v>
      </c>
      <c r="N74" s="18">
        <v>37119</v>
      </c>
      <c r="O74" s="18">
        <v>15678</v>
      </c>
      <c r="P74" s="26"/>
      <c r="Q74" s="15">
        <f t="shared" si="5"/>
        <v>37226</v>
      </c>
      <c r="R74" s="18">
        <v>18850</v>
      </c>
      <c r="S74" s="18">
        <v>18376</v>
      </c>
      <c r="T74" s="19">
        <v>17790</v>
      </c>
      <c r="U74" s="19">
        <v>16569</v>
      </c>
      <c r="V74" s="18">
        <v>15184</v>
      </c>
      <c r="W74" s="18">
        <v>14114</v>
      </c>
      <c r="X74" s="18">
        <v>15771</v>
      </c>
      <c r="Y74" s="18">
        <v>16596</v>
      </c>
      <c r="Z74" s="19">
        <v>16681</v>
      </c>
      <c r="AA74" s="19">
        <v>17302</v>
      </c>
      <c r="AB74" s="27">
        <v>16886</v>
      </c>
      <c r="AC74" s="27">
        <v>16071</v>
      </c>
    </row>
    <row r="75" spans="1:29" s="1" customFormat="1" ht="13.8" x14ac:dyDescent="0.3">
      <c r="A75" s="39">
        <v>43524</v>
      </c>
      <c r="B75" s="14">
        <f t="shared" si="3"/>
        <v>464673</v>
      </c>
      <c r="C75" s="14">
        <f t="shared" si="4"/>
        <v>139554</v>
      </c>
      <c r="D75" s="18">
        <v>15121</v>
      </c>
      <c r="E75" s="18">
        <v>124433</v>
      </c>
      <c r="F75" s="18">
        <v>80110</v>
      </c>
      <c r="G75" s="18">
        <v>59444</v>
      </c>
      <c r="H75" s="18">
        <v>12086</v>
      </c>
      <c r="I75" s="18">
        <v>127468</v>
      </c>
      <c r="J75" s="18">
        <v>10213</v>
      </c>
      <c r="K75" s="18">
        <v>26750</v>
      </c>
      <c r="L75" s="18">
        <v>23013</v>
      </c>
      <c r="M75" s="18">
        <v>28363</v>
      </c>
      <c r="N75" s="18">
        <v>35857</v>
      </c>
      <c r="O75" s="18">
        <v>15358</v>
      </c>
      <c r="P75" s="26"/>
      <c r="Q75" s="15">
        <f t="shared" si="5"/>
        <v>325119</v>
      </c>
      <c r="R75" s="18">
        <v>164526</v>
      </c>
      <c r="S75" s="18">
        <v>160593</v>
      </c>
      <c r="T75" s="19">
        <v>156717</v>
      </c>
      <c r="U75" s="19">
        <v>151006</v>
      </c>
      <c r="V75" s="18">
        <v>143521</v>
      </c>
      <c r="W75" s="18">
        <v>143504</v>
      </c>
      <c r="X75" s="18">
        <v>153692</v>
      </c>
      <c r="Y75" s="18">
        <v>158559</v>
      </c>
      <c r="Z75" s="19">
        <v>144680</v>
      </c>
      <c r="AA75" s="19">
        <v>141666</v>
      </c>
      <c r="AB75" s="27">
        <v>143381</v>
      </c>
      <c r="AC75" s="27">
        <v>145562</v>
      </c>
    </row>
    <row r="76" spans="1:29" s="1" customFormat="1" ht="13.8" x14ac:dyDescent="0.3">
      <c r="A76" s="39">
        <v>43555</v>
      </c>
      <c r="B76" s="14">
        <f t="shared" si="3"/>
        <v>343749</v>
      </c>
      <c r="C76" s="14">
        <f t="shared" si="4"/>
        <v>135334</v>
      </c>
      <c r="D76" s="19">
        <v>14366</v>
      </c>
      <c r="E76" s="19">
        <v>120968</v>
      </c>
      <c r="F76" s="19">
        <v>76611</v>
      </c>
      <c r="G76" s="19">
        <v>58723</v>
      </c>
      <c r="H76" s="19">
        <v>11761</v>
      </c>
      <c r="I76" s="19">
        <v>123573</v>
      </c>
      <c r="J76" s="19">
        <v>10018</v>
      </c>
      <c r="K76" s="19">
        <v>26483</v>
      </c>
      <c r="L76" s="19">
        <v>22202</v>
      </c>
      <c r="M76" s="19">
        <v>27100</v>
      </c>
      <c r="N76" s="19">
        <v>34366</v>
      </c>
      <c r="O76" s="19">
        <v>15165</v>
      </c>
      <c r="P76" s="26"/>
      <c r="Q76" s="15">
        <f t="shared" si="5"/>
        <v>208415</v>
      </c>
      <c r="R76" s="18">
        <v>105360</v>
      </c>
      <c r="S76" s="18">
        <v>103055</v>
      </c>
      <c r="T76" s="19">
        <v>99539</v>
      </c>
      <c r="U76" s="19">
        <v>94489</v>
      </c>
      <c r="V76" s="18">
        <v>88634</v>
      </c>
      <c r="W76" s="18">
        <v>88055</v>
      </c>
      <c r="X76" s="18">
        <v>95688</v>
      </c>
      <c r="Y76" s="18">
        <v>100309</v>
      </c>
      <c r="Z76" s="19">
        <v>92804</v>
      </c>
      <c r="AA76" s="19">
        <v>91590</v>
      </c>
      <c r="AB76" s="27">
        <v>93880</v>
      </c>
      <c r="AC76" s="27">
        <v>95801</v>
      </c>
    </row>
    <row r="77" spans="1:29" s="1" customFormat="1" ht="13.8" x14ac:dyDescent="0.3">
      <c r="A77" s="39">
        <v>43585</v>
      </c>
      <c r="B77" s="14">
        <f t="shared" si="3"/>
        <v>283980</v>
      </c>
      <c r="C77" s="14">
        <f t="shared" si="4"/>
        <v>130050</v>
      </c>
      <c r="D77" s="19">
        <v>13310</v>
      </c>
      <c r="E77" s="19">
        <v>116740</v>
      </c>
      <c r="F77" s="19">
        <v>72800</v>
      </c>
      <c r="G77" s="19">
        <v>57250</v>
      </c>
      <c r="H77" s="19">
        <v>11222</v>
      </c>
      <c r="I77" s="19">
        <v>118828</v>
      </c>
      <c r="J77" s="19">
        <v>9682</v>
      </c>
      <c r="K77" s="19">
        <v>25778</v>
      </c>
      <c r="L77" s="19">
        <v>21380</v>
      </c>
      <c r="M77" s="19">
        <v>25633</v>
      </c>
      <c r="N77" s="19">
        <v>32832</v>
      </c>
      <c r="O77" s="19">
        <v>14745</v>
      </c>
      <c r="P77" s="26"/>
      <c r="Q77" s="15">
        <f t="shared" si="5"/>
        <v>153930</v>
      </c>
      <c r="R77" s="18">
        <v>78016</v>
      </c>
      <c r="S77" s="18">
        <v>75914</v>
      </c>
      <c r="T77" s="19">
        <v>74968</v>
      </c>
      <c r="U77" s="19">
        <v>73086</v>
      </c>
      <c r="V77" s="18">
        <v>70071</v>
      </c>
      <c r="W77" s="18">
        <v>69563</v>
      </c>
      <c r="X77" s="18">
        <v>73775</v>
      </c>
      <c r="Y77" s="18">
        <v>74846</v>
      </c>
      <c r="Z77" s="19">
        <v>68557</v>
      </c>
      <c r="AA77" s="19">
        <v>67378</v>
      </c>
      <c r="AB77" s="27">
        <v>66387</v>
      </c>
      <c r="AC77" s="27">
        <v>65832</v>
      </c>
    </row>
    <row r="78" spans="1:29" s="1" customFormat="1" ht="13.8" x14ac:dyDescent="0.3">
      <c r="A78" s="39">
        <v>43616</v>
      </c>
      <c r="B78" s="14">
        <f t="shared" si="3"/>
        <v>161378</v>
      </c>
      <c r="C78" s="14">
        <f t="shared" si="4"/>
        <v>123587</v>
      </c>
      <c r="D78" s="18">
        <v>12238</v>
      </c>
      <c r="E78" s="18">
        <v>111349</v>
      </c>
      <c r="F78" s="18">
        <v>68512</v>
      </c>
      <c r="G78" s="18">
        <v>55075</v>
      </c>
      <c r="H78" s="18">
        <v>10531</v>
      </c>
      <c r="I78" s="18">
        <v>113056</v>
      </c>
      <c r="J78" s="18">
        <v>9355</v>
      </c>
      <c r="K78" s="18">
        <v>24496</v>
      </c>
      <c r="L78" s="18">
        <v>20386</v>
      </c>
      <c r="M78" s="18">
        <v>24375</v>
      </c>
      <c r="N78" s="18">
        <v>31073</v>
      </c>
      <c r="O78" s="18">
        <v>13902</v>
      </c>
      <c r="P78" s="26"/>
      <c r="Q78" s="15">
        <f t="shared" si="5"/>
        <v>37791</v>
      </c>
      <c r="R78" s="18">
        <v>19115</v>
      </c>
      <c r="S78" s="18">
        <v>18676</v>
      </c>
      <c r="T78" s="19">
        <v>18430</v>
      </c>
      <c r="U78" s="19">
        <v>17694</v>
      </c>
      <c r="V78" s="18">
        <v>16592</v>
      </c>
      <c r="W78" s="18">
        <v>15842</v>
      </c>
      <c r="X78" s="18">
        <v>17361</v>
      </c>
      <c r="Y78" s="18">
        <v>18218</v>
      </c>
      <c r="Z78" s="19">
        <v>17995</v>
      </c>
      <c r="AA78" s="19">
        <v>18249</v>
      </c>
      <c r="AB78" s="27">
        <v>17464</v>
      </c>
      <c r="AC78" s="27">
        <v>16483</v>
      </c>
    </row>
    <row r="79" spans="1:29" s="1" customFormat="1" ht="13.8" x14ac:dyDescent="0.3">
      <c r="A79" s="39">
        <v>43646</v>
      </c>
      <c r="B79" s="14">
        <f t="shared" si="3"/>
        <v>442886</v>
      </c>
      <c r="C79" s="14">
        <f t="shared" si="4"/>
        <v>118332</v>
      </c>
      <c r="D79" s="18">
        <v>11147</v>
      </c>
      <c r="E79" s="18">
        <v>107185</v>
      </c>
      <c r="F79" s="18">
        <v>64161</v>
      </c>
      <c r="G79" s="18">
        <v>54171</v>
      </c>
      <c r="H79" s="18">
        <v>9856</v>
      </c>
      <c r="I79" s="18">
        <v>108476</v>
      </c>
      <c r="J79" s="18">
        <v>9242</v>
      </c>
      <c r="K79" s="18">
        <v>23923</v>
      </c>
      <c r="L79" s="18">
        <v>19438</v>
      </c>
      <c r="M79" s="18">
        <v>23042</v>
      </c>
      <c r="N79" s="18">
        <v>29355</v>
      </c>
      <c r="O79" s="18">
        <v>13332</v>
      </c>
      <c r="P79" s="26"/>
      <c r="Q79" s="15">
        <f t="shared" si="5"/>
        <v>324554</v>
      </c>
      <c r="R79" s="18">
        <v>164261</v>
      </c>
      <c r="S79" s="18">
        <v>160293</v>
      </c>
      <c r="T79" s="19">
        <v>156077</v>
      </c>
      <c r="U79" s="19">
        <v>149881</v>
      </c>
      <c r="V79" s="18">
        <v>142113</v>
      </c>
      <c r="W79" s="18">
        <v>141776</v>
      </c>
      <c r="X79" s="18">
        <v>152102</v>
      </c>
      <c r="Y79" s="18">
        <v>156937</v>
      </c>
      <c r="Z79" s="19">
        <v>143366</v>
      </c>
      <c r="AA79" s="19">
        <v>140719</v>
      </c>
      <c r="AB79" s="27">
        <v>142803</v>
      </c>
      <c r="AC79" s="27">
        <v>145150</v>
      </c>
    </row>
    <row r="80" spans="1:29" s="1" customFormat="1" ht="13.8" x14ac:dyDescent="0.3">
      <c r="A80" s="39">
        <v>43677</v>
      </c>
      <c r="B80" s="14">
        <f t="shared" si="3"/>
        <v>152505</v>
      </c>
      <c r="C80" s="14">
        <f t="shared" si="4"/>
        <v>127827</v>
      </c>
      <c r="D80" s="18">
        <v>12718</v>
      </c>
      <c r="E80" s="18">
        <v>115109</v>
      </c>
      <c r="F80" s="18">
        <v>69767</v>
      </c>
      <c r="G80" s="18">
        <v>58060</v>
      </c>
      <c r="H80" s="18">
        <v>11079</v>
      </c>
      <c r="I80" s="18">
        <v>116748</v>
      </c>
      <c r="J80" s="18">
        <v>10018</v>
      </c>
      <c r="K80" s="18">
        <v>25713</v>
      </c>
      <c r="L80" s="18">
        <v>21187</v>
      </c>
      <c r="M80" s="18">
        <v>24453</v>
      </c>
      <c r="N80" s="18">
        <v>31727</v>
      </c>
      <c r="O80" s="18">
        <v>14729</v>
      </c>
      <c r="P80" s="26"/>
      <c r="Q80" s="15">
        <f t="shared" si="5"/>
        <v>24678</v>
      </c>
      <c r="R80" s="18">
        <v>12361</v>
      </c>
      <c r="S80" s="18">
        <v>12317</v>
      </c>
      <c r="T80" s="19">
        <v>12252</v>
      </c>
      <c r="U80" s="19">
        <v>11882</v>
      </c>
      <c r="V80" s="18">
        <v>11562</v>
      </c>
      <c r="W80" s="18">
        <v>11455</v>
      </c>
      <c r="X80" s="18">
        <v>11857</v>
      </c>
      <c r="Y80" s="18">
        <v>11823</v>
      </c>
      <c r="Z80" s="19">
        <v>11172</v>
      </c>
      <c r="AA80" s="19">
        <v>11331</v>
      </c>
      <c r="AB80" s="27">
        <v>11505</v>
      </c>
      <c r="AC80" s="27">
        <v>11465</v>
      </c>
    </row>
    <row r="81" spans="1:29" s="1" customFormat="1" ht="13.8" x14ac:dyDescent="0.3">
      <c r="A81" s="39">
        <v>43708</v>
      </c>
      <c r="B81" s="14">
        <f t="shared" si="3"/>
        <v>186829</v>
      </c>
      <c r="C81" s="14">
        <f t="shared" si="4"/>
        <v>129175</v>
      </c>
      <c r="D81" s="18">
        <v>13224</v>
      </c>
      <c r="E81" s="18">
        <v>115951</v>
      </c>
      <c r="F81" s="18">
        <v>71329</v>
      </c>
      <c r="G81" s="18">
        <v>57846</v>
      </c>
      <c r="H81" s="18">
        <v>11629</v>
      </c>
      <c r="I81" s="18">
        <v>117546</v>
      </c>
      <c r="J81" s="18">
        <v>10026</v>
      </c>
      <c r="K81" s="18">
        <v>25386</v>
      </c>
      <c r="L81" s="18">
        <v>21295</v>
      </c>
      <c r="M81" s="18">
        <v>24599</v>
      </c>
      <c r="N81" s="18">
        <v>32460</v>
      </c>
      <c r="O81" s="18">
        <v>15409</v>
      </c>
      <c r="P81" s="26"/>
      <c r="Q81" s="15">
        <f t="shared" si="5"/>
        <v>57654</v>
      </c>
      <c r="R81" s="18">
        <v>29043</v>
      </c>
      <c r="S81" s="18">
        <v>28611</v>
      </c>
      <c r="T81" s="19">
        <v>28238</v>
      </c>
      <c r="U81" s="19">
        <v>27414</v>
      </c>
      <c r="V81" s="18">
        <v>26102</v>
      </c>
      <c r="W81" s="18">
        <v>26426</v>
      </c>
      <c r="X81" s="18">
        <v>28080</v>
      </c>
      <c r="Y81" s="18">
        <v>27933</v>
      </c>
      <c r="Z81" s="19">
        <v>24927</v>
      </c>
      <c r="AA81" s="19">
        <v>24711</v>
      </c>
      <c r="AB81" s="27">
        <v>24989</v>
      </c>
      <c r="AC81" s="27">
        <v>24921</v>
      </c>
    </row>
    <row r="82" spans="1:29" s="1" customFormat="1" ht="13.8" x14ac:dyDescent="0.3">
      <c r="A82" s="39">
        <v>43738</v>
      </c>
      <c r="B82" s="14">
        <f t="shared" si="3"/>
        <v>165037</v>
      </c>
      <c r="C82" s="14">
        <f t="shared" si="4"/>
        <v>118027</v>
      </c>
      <c r="D82" s="19">
        <v>12994</v>
      </c>
      <c r="E82" s="19">
        <v>105033</v>
      </c>
      <c r="F82" s="19">
        <v>66502</v>
      </c>
      <c r="G82" s="19">
        <v>51525</v>
      </c>
      <c r="H82" s="19">
        <v>11390</v>
      </c>
      <c r="I82" s="19">
        <v>106637</v>
      </c>
      <c r="J82" s="19">
        <v>9093</v>
      </c>
      <c r="K82" s="19">
        <v>22173</v>
      </c>
      <c r="L82" s="19">
        <v>18526</v>
      </c>
      <c r="M82" s="19">
        <v>22565</v>
      </c>
      <c r="N82" s="19">
        <v>30803</v>
      </c>
      <c r="O82" s="19">
        <v>14867</v>
      </c>
      <c r="P82" s="26"/>
      <c r="Q82" s="15">
        <f t="shared" si="5"/>
        <v>47010</v>
      </c>
      <c r="R82" s="18">
        <v>23620</v>
      </c>
      <c r="S82" s="18">
        <v>23390</v>
      </c>
      <c r="T82" s="19">
        <v>22730</v>
      </c>
      <c r="U82" s="19">
        <v>21638</v>
      </c>
      <c r="V82" s="18">
        <v>20542</v>
      </c>
      <c r="W82" s="18">
        <v>20925</v>
      </c>
      <c r="X82" s="18">
        <v>22536</v>
      </c>
      <c r="Y82" s="18">
        <v>22924</v>
      </c>
      <c r="Z82" s="19">
        <v>19970</v>
      </c>
      <c r="AA82" s="19">
        <v>19457</v>
      </c>
      <c r="AB82" s="27">
        <v>20308</v>
      </c>
      <c r="AC82" s="27">
        <v>20805</v>
      </c>
    </row>
    <row r="83" spans="1:29" s="1" customFormat="1" ht="13.8" x14ac:dyDescent="0.3">
      <c r="A83" s="39">
        <v>43768</v>
      </c>
      <c r="B83" s="14">
        <f t="shared" si="3"/>
        <v>190998</v>
      </c>
      <c r="C83" s="14">
        <f t="shared" si="4"/>
        <v>119168</v>
      </c>
      <c r="D83" s="19">
        <v>13747</v>
      </c>
      <c r="E83" s="19">
        <v>105421</v>
      </c>
      <c r="F83" s="19">
        <v>68365</v>
      </c>
      <c r="G83" s="19">
        <v>50803</v>
      </c>
      <c r="H83" s="19">
        <v>11512</v>
      </c>
      <c r="I83" s="19">
        <v>107656</v>
      </c>
      <c r="J83" s="19">
        <v>9232</v>
      </c>
      <c r="K83" s="19">
        <v>22033</v>
      </c>
      <c r="L83" s="19">
        <v>18559</v>
      </c>
      <c r="M83" s="19">
        <v>22976</v>
      </c>
      <c r="N83" s="19">
        <v>31668</v>
      </c>
      <c r="O83" s="19">
        <v>14700</v>
      </c>
      <c r="P83" s="26"/>
      <c r="Q83" s="15">
        <f t="shared" si="5"/>
        <v>71830</v>
      </c>
      <c r="R83" s="18">
        <v>36404</v>
      </c>
      <c r="S83" s="18">
        <v>35426</v>
      </c>
      <c r="T83" s="19">
        <v>34234</v>
      </c>
      <c r="U83" s="19">
        <v>32527</v>
      </c>
      <c r="V83" s="18">
        <v>31078</v>
      </c>
      <c r="W83" s="18">
        <v>31190</v>
      </c>
      <c r="X83" s="18">
        <v>32470</v>
      </c>
      <c r="Y83" s="18">
        <v>33328</v>
      </c>
      <c r="Z83" s="19">
        <v>30100</v>
      </c>
      <c r="AA83" s="19">
        <v>29522</v>
      </c>
      <c r="AB83" s="27">
        <v>30405</v>
      </c>
      <c r="AC83" s="27">
        <v>31228</v>
      </c>
    </row>
    <row r="84" spans="1:29" s="1" customFormat="1" ht="13.8" x14ac:dyDescent="0.3">
      <c r="A84" s="39">
        <v>43799</v>
      </c>
      <c r="B84" s="14">
        <f t="shared" si="3"/>
        <v>226642</v>
      </c>
      <c r="C84" s="14">
        <f t="shared" si="4"/>
        <v>123599</v>
      </c>
      <c r="D84" s="27">
        <v>13970</v>
      </c>
      <c r="E84" s="27">
        <v>109629</v>
      </c>
      <c r="F84" s="27">
        <v>73654</v>
      </c>
      <c r="G84" s="27">
        <v>49945</v>
      </c>
      <c r="H84" s="27">
        <v>11005</v>
      </c>
      <c r="I84" s="27">
        <v>112594</v>
      </c>
      <c r="J84" s="27">
        <v>9554</v>
      </c>
      <c r="K84" s="27">
        <v>22354</v>
      </c>
      <c r="L84" s="27">
        <v>19644</v>
      </c>
      <c r="M84" s="27">
        <v>24445</v>
      </c>
      <c r="N84" s="27">
        <v>33085</v>
      </c>
      <c r="O84" s="27">
        <v>14517</v>
      </c>
      <c r="P84" s="26"/>
      <c r="Q84" s="15">
        <f t="shared" si="5"/>
        <v>103043</v>
      </c>
      <c r="R84" s="18">
        <v>52368</v>
      </c>
      <c r="S84" s="18">
        <v>50675</v>
      </c>
      <c r="T84" s="19">
        <v>49134</v>
      </c>
      <c r="U84" s="19">
        <v>46865</v>
      </c>
      <c r="V84" s="18">
        <v>44367</v>
      </c>
      <c r="W84" s="18">
        <v>43240</v>
      </c>
      <c r="X84" s="18">
        <v>46650</v>
      </c>
      <c r="Y84" s="18">
        <v>48564</v>
      </c>
      <c r="Z84" s="19">
        <v>45433</v>
      </c>
      <c r="AA84" s="19">
        <v>45573</v>
      </c>
      <c r="AB84" s="27">
        <v>45956</v>
      </c>
      <c r="AC84" s="27">
        <v>46878</v>
      </c>
    </row>
    <row r="85" spans="1:29" s="1" customFormat="1" ht="13.8" x14ac:dyDescent="0.3">
      <c r="A85" s="39">
        <v>43830</v>
      </c>
      <c r="B85" s="14">
        <f t="shared" si="3"/>
        <v>184673</v>
      </c>
      <c r="C85" s="14">
        <f t="shared" si="4"/>
        <v>126543</v>
      </c>
      <c r="D85" s="27">
        <v>13640</v>
      </c>
      <c r="E85" s="27">
        <v>112903</v>
      </c>
      <c r="F85" s="27">
        <v>77588</v>
      </c>
      <c r="G85" s="27">
        <v>48955</v>
      </c>
      <c r="H85" s="27">
        <v>10343</v>
      </c>
      <c r="I85" s="27">
        <v>116200</v>
      </c>
      <c r="J85" s="27">
        <v>9551</v>
      </c>
      <c r="K85" s="27">
        <v>22514</v>
      </c>
      <c r="L85" s="27">
        <v>20672</v>
      </c>
      <c r="M85" s="27">
        <v>25492</v>
      </c>
      <c r="N85" s="27">
        <v>34166</v>
      </c>
      <c r="O85" s="27">
        <v>14148</v>
      </c>
      <c r="P85" s="26"/>
      <c r="Q85" s="15">
        <f t="shared" si="5"/>
        <v>58130</v>
      </c>
      <c r="R85" s="18">
        <v>29580</v>
      </c>
      <c r="S85" s="18">
        <v>28550</v>
      </c>
      <c r="T85" s="19">
        <v>27919</v>
      </c>
      <c r="U85" s="19">
        <v>27249</v>
      </c>
      <c r="V85" s="18">
        <v>25054</v>
      </c>
      <c r="W85" s="18">
        <v>24382</v>
      </c>
      <c r="X85" s="18">
        <v>27870</v>
      </c>
      <c r="Y85" s="18">
        <v>30583</v>
      </c>
      <c r="Z85" s="19">
        <v>29759</v>
      </c>
      <c r="AA85" s="19">
        <v>28374</v>
      </c>
      <c r="AB85" s="27">
        <v>27104</v>
      </c>
      <c r="AC85" s="27">
        <v>26336</v>
      </c>
    </row>
    <row r="86" spans="1:29" s="1" customFormat="1" ht="13.8" x14ac:dyDescent="0.3">
      <c r="A86" s="42">
        <v>43861</v>
      </c>
      <c r="B86" s="14">
        <f t="shared" si="3"/>
        <v>297931</v>
      </c>
      <c r="C86" s="14">
        <f t="shared" si="4"/>
        <v>130171</v>
      </c>
      <c r="D86" s="27">
        <v>14590</v>
      </c>
      <c r="E86" s="27">
        <v>115581</v>
      </c>
      <c r="F86" s="27">
        <v>80122</v>
      </c>
      <c r="G86" s="27">
        <v>50049</v>
      </c>
      <c r="H86" s="27">
        <v>10874</v>
      </c>
      <c r="I86" s="27">
        <v>119297</v>
      </c>
      <c r="J86" s="27">
        <v>9697</v>
      </c>
      <c r="K86" s="27">
        <v>22454</v>
      </c>
      <c r="L86" s="27">
        <v>21080</v>
      </c>
      <c r="M86" s="27">
        <v>26497</v>
      </c>
      <c r="N86" s="27">
        <v>35785</v>
      </c>
      <c r="O86" s="27">
        <v>14658</v>
      </c>
      <c r="P86" s="26"/>
      <c r="Q86" s="15">
        <f t="shared" si="5"/>
        <v>167760</v>
      </c>
      <c r="R86" s="27">
        <v>17483</v>
      </c>
      <c r="S86" s="27">
        <v>150277</v>
      </c>
      <c r="T86" s="27">
        <v>100834</v>
      </c>
      <c r="U86" s="27">
        <v>66926</v>
      </c>
      <c r="V86" s="27">
        <v>17062</v>
      </c>
      <c r="W86" s="27">
        <v>150698</v>
      </c>
      <c r="X86" s="27">
        <v>11664</v>
      </c>
      <c r="Y86" s="27">
        <v>24784</v>
      </c>
      <c r="Z86" s="27">
        <v>21432</v>
      </c>
      <c r="AA86" s="27">
        <v>32702</v>
      </c>
      <c r="AB86" s="27">
        <v>50163</v>
      </c>
      <c r="AC86" s="27">
        <v>27015</v>
      </c>
    </row>
    <row r="87" spans="1:29" s="1" customFormat="1" ht="13.8" x14ac:dyDescent="0.3">
      <c r="A87" s="42">
        <v>43889</v>
      </c>
      <c r="B87" s="14">
        <f t="shared" si="3"/>
        <v>293016</v>
      </c>
      <c r="C87" s="14">
        <f t="shared" si="4"/>
        <v>127711</v>
      </c>
      <c r="D87" s="27">
        <v>14191</v>
      </c>
      <c r="E87" s="27">
        <v>113520</v>
      </c>
      <c r="F87" s="27">
        <v>78340</v>
      </c>
      <c r="G87" s="27">
        <v>49371</v>
      </c>
      <c r="H87" s="27">
        <v>10692</v>
      </c>
      <c r="I87" s="27">
        <v>117019</v>
      </c>
      <c r="J87" s="27">
        <v>9680</v>
      </c>
      <c r="K87" s="27">
        <v>22155</v>
      </c>
      <c r="L87" s="27">
        <v>20629</v>
      </c>
      <c r="M87" s="27">
        <v>25872</v>
      </c>
      <c r="N87" s="27">
        <v>35251</v>
      </c>
      <c r="O87" s="27">
        <v>14124</v>
      </c>
      <c r="P87" s="26"/>
      <c r="Q87" s="15">
        <f t="shared" si="5"/>
        <v>165305</v>
      </c>
      <c r="R87" s="27">
        <v>17090</v>
      </c>
      <c r="S87" s="27">
        <v>148215</v>
      </c>
      <c r="T87" s="27">
        <v>99132</v>
      </c>
      <c r="U87" s="27">
        <v>66173</v>
      </c>
      <c r="V87" s="27">
        <v>16626</v>
      </c>
      <c r="W87" s="27">
        <v>148679</v>
      </c>
      <c r="X87" s="27">
        <v>11617</v>
      </c>
      <c r="Y87" s="27">
        <v>24420</v>
      </c>
      <c r="Z87" s="27">
        <v>21277</v>
      </c>
      <c r="AA87" s="27">
        <v>32447</v>
      </c>
      <c r="AB87" s="27">
        <v>49647</v>
      </c>
      <c r="AC87" s="27">
        <v>25897</v>
      </c>
    </row>
    <row r="88" spans="1:29" s="1" customFormat="1" ht="13.8" x14ac:dyDescent="0.3">
      <c r="A88" s="42">
        <v>43921</v>
      </c>
      <c r="B88" s="14">
        <f t="shared" si="3"/>
        <v>343761</v>
      </c>
      <c r="C88" s="14">
        <f t="shared" si="4"/>
        <v>152318</v>
      </c>
      <c r="D88" s="19">
        <v>16430</v>
      </c>
      <c r="E88" s="19">
        <v>135888</v>
      </c>
      <c r="F88" s="19">
        <v>96288</v>
      </c>
      <c r="G88" s="19">
        <v>56030</v>
      </c>
      <c r="H88" s="19">
        <v>11209</v>
      </c>
      <c r="I88" s="19">
        <v>141109</v>
      </c>
      <c r="J88" s="19">
        <v>11063</v>
      </c>
      <c r="K88" s="19">
        <v>26510</v>
      </c>
      <c r="L88" s="19">
        <v>25797</v>
      </c>
      <c r="M88" s="19">
        <v>31390</v>
      </c>
      <c r="N88" s="19">
        <v>41962</v>
      </c>
      <c r="O88" s="19">
        <v>15596</v>
      </c>
      <c r="P88" s="26"/>
      <c r="Q88" s="15">
        <f t="shared" si="5"/>
        <v>191443</v>
      </c>
      <c r="R88" s="19">
        <v>19468</v>
      </c>
      <c r="S88" s="19">
        <v>171975</v>
      </c>
      <c r="T88" s="19">
        <v>116044</v>
      </c>
      <c r="U88" s="19">
        <v>75399</v>
      </c>
      <c r="V88" s="19">
        <v>17545</v>
      </c>
      <c r="W88" s="19">
        <v>173898</v>
      </c>
      <c r="X88" s="19">
        <v>12547</v>
      </c>
      <c r="Y88" s="19">
        <v>28159</v>
      </c>
      <c r="Z88" s="19">
        <v>25565</v>
      </c>
      <c r="AA88" s="19">
        <v>38017</v>
      </c>
      <c r="AB88" s="19">
        <v>58532</v>
      </c>
      <c r="AC88" s="19">
        <v>28623</v>
      </c>
    </row>
    <row r="89" spans="1:29" s="1" customFormat="1" ht="13.8" x14ac:dyDescent="0.3">
      <c r="A89" s="42">
        <v>43951</v>
      </c>
      <c r="B89" s="14">
        <f t="shared" si="3"/>
        <v>392323</v>
      </c>
      <c r="C89" s="14">
        <f t="shared" si="4"/>
        <v>176846</v>
      </c>
      <c r="D89" s="19">
        <v>19970</v>
      </c>
      <c r="E89" s="19">
        <v>156876</v>
      </c>
      <c r="F89" s="19">
        <v>119135</v>
      </c>
      <c r="G89" s="19">
        <v>57711</v>
      </c>
      <c r="H89" s="19">
        <v>10962</v>
      </c>
      <c r="I89" s="19">
        <v>165884</v>
      </c>
      <c r="J89" s="19">
        <v>12360</v>
      </c>
      <c r="K89" s="19">
        <v>28622</v>
      </c>
      <c r="L89" s="19">
        <v>29403</v>
      </c>
      <c r="M89" s="19">
        <v>37565</v>
      </c>
      <c r="N89" s="19">
        <v>51781</v>
      </c>
      <c r="O89" s="19">
        <v>17115</v>
      </c>
      <c r="P89" s="26"/>
      <c r="Q89" s="15">
        <f t="shared" si="5"/>
        <v>215477</v>
      </c>
      <c r="R89" s="19">
        <v>22721</v>
      </c>
      <c r="S89" s="19">
        <v>192756</v>
      </c>
      <c r="T89" s="19">
        <v>137883</v>
      </c>
      <c r="U89" s="19">
        <v>77594</v>
      </c>
      <c r="V89" s="19">
        <v>17199</v>
      </c>
      <c r="W89" s="19">
        <v>198278</v>
      </c>
      <c r="X89" s="19">
        <v>13064</v>
      </c>
      <c r="Y89" s="19">
        <v>30103</v>
      </c>
      <c r="Z89" s="19">
        <v>28516</v>
      </c>
      <c r="AA89" s="19">
        <v>43504</v>
      </c>
      <c r="AB89" s="19">
        <v>68856</v>
      </c>
      <c r="AC89" s="19">
        <v>31434</v>
      </c>
    </row>
    <row r="90" spans="1:29" s="1" customFormat="1" ht="13.8" x14ac:dyDescent="0.3">
      <c r="A90" s="42">
        <v>43982</v>
      </c>
      <c r="B90" s="14">
        <f t="shared" si="3"/>
        <v>384504</v>
      </c>
      <c r="C90" s="14">
        <f t="shared" si="4"/>
        <v>172366</v>
      </c>
      <c r="D90" s="18">
        <v>20092</v>
      </c>
      <c r="E90" s="18">
        <v>152274</v>
      </c>
      <c r="F90" s="18">
        <v>118977</v>
      </c>
      <c r="G90" s="18">
        <v>53389</v>
      </c>
      <c r="H90" s="18">
        <v>9864</v>
      </c>
      <c r="I90" s="18">
        <v>162502</v>
      </c>
      <c r="J90" s="18">
        <v>11767</v>
      </c>
      <c r="K90" s="18">
        <v>26034</v>
      </c>
      <c r="L90" s="18">
        <v>27532</v>
      </c>
      <c r="M90" s="18">
        <v>37376</v>
      </c>
      <c r="N90" s="18">
        <v>52711</v>
      </c>
      <c r="O90" s="18">
        <v>16946</v>
      </c>
      <c r="P90" s="26"/>
      <c r="Q90" s="15">
        <f t="shared" si="5"/>
        <v>212138</v>
      </c>
      <c r="R90" s="18">
        <v>22670</v>
      </c>
      <c r="S90" s="18">
        <v>189468</v>
      </c>
      <c r="T90" s="18">
        <v>139391</v>
      </c>
      <c r="U90" s="18">
        <v>72747</v>
      </c>
      <c r="V90" s="18">
        <v>15764</v>
      </c>
      <c r="W90" s="18">
        <v>196374</v>
      </c>
      <c r="X90" s="18">
        <v>12869</v>
      </c>
      <c r="Y90" s="18">
        <v>28360</v>
      </c>
      <c r="Z90" s="18">
        <v>27500</v>
      </c>
      <c r="AA90" s="18">
        <v>43359</v>
      </c>
      <c r="AB90" s="18">
        <v>69160</v>
      </c>
      <c r="AC90" s="18">
        <v>30890</v>
      </c>
    </row>
    <row r="91" spans="1:29" s="1" customFormat="1" ht="13.8" x14ac:dyDescent="0.3">
      <c r="A91" s="42">
        <v>44012</v>
      </c>
      <c r="B91" s="14">
        <f t="shared" si="3"/>
        <v>381629</v>
      </c>
      <c r="C91" s="14">
        <f t="shared" si="4"/>
        <v>168011</v>
      </c>
      <c r="D91" s="18">
        <v>19561</v>
      </c>
      <c r="E91" s="18">
        <v>148450</v>
      </c>
      <c r="F91" s="18">
        <v>114998</v>
      </c>
      <c r="G91" s="18">
        <v>53013</v>
      </c>
      <c r="H91" s="18">
        <v>9569</v>
      </c>
      <c r="I91" s="18">
        <v>158442</v>
      </c>
      <c r="J91" s="18">
        <v>11420</v>
      </c>
      <c r="K91" s="18">
        <v>24988</v>
      </c>
      <c r="L91" s="18">
        <v>26287</v>
      </c>
      <c r="M91" s="18">
        <v>36128</v>
      </c>
      <c r="N91" s="18">
        <v>52007</v>
      </c>
      <c r="O91" s="18">
        <v>17181</v>
      </c>
      <c r="P91" s="26"/>
      <c r="Q91" s="15">
        <f t="shared" si="5"/>
        <v>213618</v>
      </c>
      <c r="R91" s="18">
        <v>22483</v>
      </c>
      <c r="S91" s="18">
        <v>191135</v>
      </c>
      <c r="T91" s="18">
        <v>141454</v>
      </c>
      <c r="U91" s="18">
        <v>72164</v>
      </c>
      <c r="V91" s="18">
        <v>15483</v>
      </c>
      <c r="W91" s="18">
        <v>198135</v>
      </c>
      <c r="X91" s="18">
        <v>12822</v>
      </c>
      <c r="Y91" s="18">
        <v>28487</v>
      </c>
      <c r="Z91" s="18">
        <v>27639</v>
      </c>
      <c r="AA91" s="18">
        <v>43841</v>
      </c>
      <c r="AB91" s="18">
        <v>69623</v>
      </c>
      <c r="AC91" s="18">
        <v>31206</v>
      </c>
    </row>
    <row r="92" spans="1:29" s="1" customFormat="1" ht="13.8" x14ac:dyDescent="0.3">
      <c r="A92" s="42">
        <v>44043</v>
      </c>
      <c r="B92" s="14">
        <f t="shared" si="3"/>
        <v>382019</v>
      </c>
      <c r="C92" s="14">
        <f t="shared" si="4"/>
        <v>165155</v>
      </c>
      <c r="D92" s="19">
        <v>19174</v>
      </c>
      <c r="E92" s="19">
        <v>145981</v>
      </c>
      <c r="F92" s="19">
        <v>110816</v>
      </c>
      <c r="G92" s="19">
        <v>54339</v>
      </c>
      <c r="H92" s="19">
        <v>10157</v>
      </c>
      <c r="I92" s="19">
        <v>154998</v>
      </c>
      <c r="J92" s="19">
        <v>11189</v>
      </c>
      <c r="K92" s="19">
        <v>24615</v>
      </c>
      <c r="L92" s="19">
        <v>25586</v>
      </c>
      <c r="M92" s="19">
        <v>34883</v>
      </c>
      <c r="N92" s="19">
        <v>50862</v>
      </c>
      <c r="O92" s="19">
        <v>18020</v>
      </c>
      <c r="P92" s="26"/>
      <c r="Q92" s="15">
        <f t="shared" si="5"/>
        <v>216864</v>
      </c>
      <c r="R92" s="19">
        <v>22578</v>
      </c>
      <c r="S92" s="19">
        <v>194286</v>
      </c>
      <c r="T92" s="19">
        <v>141937</v>
      </c>
      <c r="U92" s="19">
        <v>74927</v>
      </c>
      <c r="V92" s="19">
        <v>16229</v>
      </c>
      <c r="W92" s="19">
        <v>200635</v>
      </c>
      <c r="X92" s="19">
        <v>13031</v>
      </c>
      <c r="Y92" s="19">
        <v>28821</v>
      </c>
      <c r="Z92" s="19">
        <v>27799</v>
      </c>
      <c r="AA92" s="19">
        <v>44088</v>
      </c>
      <c r="AB92" s="19">
        <v>70031</v>
      </c>
      <c r="AC92" s="19">
        <v>33094</v>
      </c>
    </row>
    <row r="93" spans="1:29" s="1" customFormat="1" ht="13.8" x14ac:dyDescent="0.3">
      <c r="A93" s="42">
        <v>44074</v>
      </c>
      <c r="B93" s="14">
        <f t="shared" si="3"/>
        <v>383482</v>
      </c>
      <c r="C93" s="14">
        <f t="shared" si="4"/>
        <v>163937</v>
      </c>
      <c r="D93" s="19">
        <v>19337</v>
      </c>
      <c r="E93" s="19">
        <v>144600</v>
      </c>
      <c r="F93" s="19">
        <v>108777</v>
      </c>
      <c r="G93" s="19">
        <v>55160</v>
      </c>
      <c r="H93" s="19">
        <v>11087</v>
      </c>
      <c r="I93" s="19">
        <v>152850</v>
      </c>
      <c r="J93" s="19">
        <v>11117</v>
      </c>
      <c r="K93" s="19">
        <v>24340</v>
      </c>
      <c r="L93" s="19">
        <v>25107</v>
      </c>
      <c r="M93" s="19">
        <v>34381</v>
      </c>
      <c r="N93" s="19">
        <v>50130</v>
      </c>
      <c r="O93" s="19">
        <v>18862</v>
      </c>
      <c r="P93" s="26"/>
      <c r="Q93" s="15">
        <f t="shared" si="5"/>
        <v>219545</v>
      </c>
      <c r="R93" s="19">
        <v>23284</v>
      </c>
      <c r="S93" s="19">
        <v>196261</v>
      </c>
      <c r="T93" s="19">
        <v>142634</v>
      </c>
      <c r="U93" s="19">
        <v>76911</v>
      </c>
      <c r="V93" s="19">
        <v>17342</v>
      </c>
      <c r="W93" s="19">
        <v>202203</v>
      </c>
      <c r="X93" s="19">
        <v>13072</v>
      </c>
      <c r="Y93" s="19">
        <v>28704</v>
      </c>
      <c r="Z93" s="19">
        <v>27612</v>
      </c>
      <c r="AA93" s="19">
        <v>44452</v>
      </c>
      <c r="AB93" s="19">
        <v>70189</v>
      </c>
      <c r="AC93" s="19">
        <v>35516</v>
      </c>
    </row>
    <row r="94" spans="1:29" s="1" customFormat="1" ht="13.8" x14ac:dyDescent="0.3">
      <c r="A94" s="42">
        <v>44104</v>
      </c>
      <c r="B94" s="14">
        <f t="shared" si="3"/>
        <v>383894</v>
      </c>
      <c r="C94" s="14">
        <f t="shared" si="4"/>
        <v>165223</v>
      </c>
      <c r="D94" s="19">
        <v>20233</v>
      </c>
      <c r="E94" s="19">
        <v>144990</v>
      </c>
      <c r="F94" s="19">
        <v>108531</v>
      </c>
      <c r="G94" s="19">
        <v>56692</v>
      </c>
      <c r="H94" s="19">
        <v>12237</v>
      </c>
      <c r="I94" s="19">
        <v>152986</v>
      </c>
      <c r="J94" s="19">
        <v>11358</v>
      </c>
      <c r="K94" s="19">
        <v>24101</v>
      </c>
      <c r="L94" s="19">
        <v>24952</v>
      </c>
      <c r="M94" s="19">
        <v>33966</v>
      </c>
      <c r="N94" s="19">
        <v>51039</v>
      </c>
      <c r="O94" s="19">
        <v>19807</v>
      </c>
      <c r="P94" s="26"/>
      <c r="Q94" s="15">
        <f t="shared" si="5"/>
        <v>218671</v>
      </c>
      <c r="R94" s="19">
        <v>24615</v>
      </c>
      <c r="S94" s="19">
        <v>194056</v>
      </c>
      <c r="T94" s="19">
        <v>139567</v>
      </c>
      <c r="U94" s="19">
        <v>79104</v>
      </c>
      <c r="V94" s="19">
        <v>18925</v>
      </c>
      <c r="W94" s="19">
        <v>199746</v>
      </c>
      <c r="X94" s="19">
        <v>13310</v>
      </c>
      <c r="Y94" s="19">
        <v>28002</v>
      </c>
      <c r="Z94" s="19">
        <v>26618</v>
      </c>
      <c r="AA94" s="19">
        <v>42767</v>
      </c>
      <c r="AB94" s="19">
        <v>70255</v>
      </c>
      <c r="AC94" s="19">
        <v>37719</v>
      </c>
    </row>
    <row r="95" spans="1:29" s="1" customFormat="1" ht="13.8" x14ac:dyDescent="0.3">
      <c r="A95" s="42">
        <v>44134</v>
      </c>
      <c r="B95" s="14">
        <f t="shared" si="3"/>
        <v>377196</v>
      </c>
      <c r="C95" s="14">
        <f t="shared" si="4"/>
        <v>164069</v>
      </c>
      <c r="D95" s="19">
        <v>20686</v>
      </c>
      <c r="E95" s="19">
        <v>143383</v>
      </c>
      <c r="F95" s="19">
        <v>106679</v>
      </c>
      <c r="G95" s="19">
        <v>57390</v>
      </c>
      <c r="H95" s="19">
        <v>12776</v>
      </c>
      <c r="I95" s="19">
        <v>151293</v>
      </c>
      <c r="J95" s="19">
        <v>11849</v>
      </c>
      <c r="K95" s="19">
        <v>23733</v>
      </c>
      <c r="L95" s="19">
        <v>24076</v>
      </c>
      <c r="M95" s="19">
        <v>33503</v>
      </c>
      <c r="N95" s="19">
        <v>51163</v>
      </c>
      <c r="O95" s="19">
        <v>19745</v>
      </c>
      <c r="P95" s="26"/>
      <c r="Q95" s="15">
        <f t="shared" si="5"/>
        <v>213127</v>
      </c>
      <c r="R95" s="19">
        <v>24942</v>
      </c>
      <c r="S95" s="19">
        <v>188185</v>
      </c>
      <c r="T95" s="19">
        <v>133845</v>
      </c>
      <c r="U95" s="19">
        <v>79282</v>
      </c>
      <c r="V95" s="19">
        <v>19599</v>
      </c>
      <c r="W95" s="19">
        <v>193528</v>
      </c>
      <c r="X95" s="19">
        <v>13837</v>
      </c>
      <c r="Y95" s="19">
        <v>27484</v>
      </c>
      <c r="Z95" s="19">
        <v>25698</v>
      </c>
      <c r="AA95" s="19">
        <v>41317</v>
      </c>
      <c r="AB95" s="19">
        <v>69001</v>
      </c>
      <c r="AC95" s="19">
        <v>35790</v>
      </c>
    </row>
    <row r="96" spans="1:29" s="1" customFormat="1" ht="13.8" x14ac:dyDescent="0.3">
      <c r="A96" s="42">
        <v>44165</v>
      </c>
      <c r="B96" s="14">
        <f t="shared" si="3"/>
        <v>371576</v>
      </c>
      <c r="C96" s="14">
        <f t="shared" si="4"/>
        <v>162663</v>
      </c>
      <c r="D96" s="19">
        <v>20751</v>
      </c>
      <c r="E96" s="19">
        <v>141912</v>
      </c>
      <c r="F96" s="19">
        <v>104951</v>
      </c>
      <c r="G96" s="19">
        <v>57712</v>
      </c>
      <c r="H96" s="19">
        <v>12785</v>
      </c>
      <c r="I96" s="19">
        <v>149878</v>
      </c>
      <c r="J96" s="19">
        <v>12423</v>
      </c>
      <c r="K96" s="19">
        <v>23896</v>
      </c>
      <c r="L96" s="19">
        <v>23966</v>
      </c>
      <c r="M96" s="19">
        <v>33083</v>
      </c>
      <c r="N96" s="19">
        <v>49932</v>
      </c>
      <c r="O96" s="19">
        <v>19363</v>
      </c>
      <c r="P96" s="26"/>
      <c r="Q96" s="15">
        <f t="shared" si="5"/>
        <v>208913</v>
      </c>
      <c r="R96" s="19">
        <v>24958</v>
      </c>
      <c r="S96" s="19">
        <v>183955</v>
      </c>
      <c r="T96" s="19">
        <v>129513</v>
      </c>
      <c r="U96" s="19">
        <v>79400</v>
      </c>
      <c r="V96" s="19">
        <v>19653</v>
      </c>
      <c r="W96" s="19">
        <v>189260</v>
      </c>
      <c r="X96" s="19">
        <v>14414</v>
      </c>
      <c r="Y96" s="19">
        <v>27571</v>
      </c>
      <c r="Z96" s="19">
        <v>25576</v>
      </c>
      <c r="AA96" s="19">
        <v>40267</v>
      </c>
      <c r="AB96" s="19">
        <v>66703</v>
      </c>
      <c r="AC96" s="19">
        <v>34382</v>
      </c>
    </row>
    <row r="97" spans="1:29" s="1" customFormat="1" ht="13.8" x14ac:dyDescent="0.3">
      <c r="A97" s="42">
        <v>44196</v>
      </c>
      <c r="B97" s="14">
        <f t="shared" si="3"/>
        <v>375150</v>
      </c>
      <c r="C97" s="14">
        <f t="shared" si="4"/>
        <v>166166</v>
      </c>
      <c r="D97" s="19">
        <v>20439</v>
      </c>
      <c r="E97" s="19">
        <v>145727</v>
      </c>
      <c r="F97" s="19">
        <v>107893</v>
      </c>
      <c r="G97" s="19">
        <v>58273</v>
      </c>
      <c r="H97" s="19">
        <v>12409</v>
      </c>
      <c r="I97" s="19">
        <v>153757</v>
      </c>
      <c r="J97" s="19">
        <v>12779</v>
      </c>
      <c r="K97" s="19">
        <v>24434</v>
      </c>
      <c r="L97" s="19">
        <v>24718</v>
      </c>
      <c r="M97" s="19">
        <v>34154</v>
      </c>
      <c r="N97" s="19">
        <v>50770</v>
      </c>
      <c r="O97" s="19">
        <v>19311</v>
      </c>
      <c r="P97" s="26"/>
      <c r="Q97" s="15">
        <f t="shared" si="5"/>
        <v>208984</v>
      </c>
      <c r="R97" s="19">
        <v>24024</v>
      </c>
      <c r="S97" s="19">
        <v>184960</v>
      </c>
      <c r="T97" s="19">
        <v>129128</v>
      </c>
      <c r="U97" s="19">
        <v>79856</v>
      </c>
      <c r="V97" s="19">
        <v>18971</v>
      </c>
      <c r="W97" s="19">
        <v>190013</v>
      </c>
      <c r="X97" s="19">
        <v>14608</v>
      </c>
      <c r="Y97" s="19">
        <v>27599</v>
      </c>
      <c r="Z97" s="19">
        <v>25582</v>
      </c>
      <c r="AA97" s="19">
        <v>40417</v>
      </c>
      <c r="AB97" s="19">
        <v>66930</v>
      </c>
      <c r="AC97" s="19">
        <v>33848</v>
      </c>
    </row>
    <row r="98" spans="1:29" s="1" customFormat="1" ht="13.8" x14ac:dyDescent="0.3">
      <c r="A98" s="42">
        <v>44227</v>
      </c>
      <c r="B98" s="14">
        <f t="shared" si="3"/>
        <v>424359</v>
      </c>
      <c r="C98" s="14">
        <f t="shared" si="4"/>
        <v>188048</v>
      </c>
      <c r="D98" s="18">
        <v>23025</v>
      </c>
      <c r="E98" s="18">
        <v>165023</v>
      </c>
      <c r="F98" s="18">
        <v>119935</v>
      </c>
      <c r="G98" s="18">
        <v>68113</v>
      </c>
      <c r="H98" s="18">
        <v>13704</v>
      </c>
      <c r="I98" s="18">
        <v>174344</v>
      </c>
      <c r="J98" s="18">
        <v>14041</v>
      </c>
      <c r="K98" s="18">
        <v>27822</v>
      </c>
      <c r="L98" s="18">
        <v>29055</v>
      </c>
      <c r="M98" s="18">
        <v>38759</v>
      </c>
      <c r="N98" s="18">
        <v>57485</v>
      </c>
      <c r="O98" s="18">
        <v>20886</v>
      </c>
      <c r="P98" s="26"/>
      <c r="Q98" s="15">
        <f t="shared" si="5"/>
        <v>236311</v>
      </c>
      <c r="R98" s="18">
        <v>27306</v>
      </c>
      <c r="S98" s="18">
        <v>209005</v>
      </c>
      <c r="T98" s="18">
        <v>143248</v>
      </c>
      <c r="U98" s="18">
        <v>93063</v>
      </c>
      <c r="V98" s="18">
        <v>20716</v>
      </c>
      <c r="W98" s="18">
        <v>215595</v>
      </c>
      <c r="X98" s="18">
        <v>15449</v>
      </c>
      <c r="Y98" s="18">
        <v>31082</v>
      </c>
      <c r="Z98" s="18">
        <v>29953</v>
      </c>
      <c r="AA98" s="18">
        <v>46105</v>
      </c>
      <c r="AB98" s="18">
        <v>76682</v>
      </c>
      <c r="AC98" s="18">
        <v>37040</v>
      </c>
    </row>
    <row r="99" spans="1:29" s="1" customFormat="1" ht="13.8" x14ac:dyDescent="0.3">
      <c r="A99" s="42">
        <v>44255</v>
      </c>
      <c r="B99" s="14">
        <f t="shared" si="3"/>
        <v>431843</v>
      </c>
      <c r="C99" s="14">
        <f t="shared" si="4"/>
        <v>190916</v>
      </c>
      <c r="D99" s="18">
        <v>23012</v>
      </c>
      <c r="E99" s="18">
        <v>167904</v>
      </c>
      <c r="F99" s="18">
        <v>120737</v>
      </c>
      <c r="G99" s="18">
        <v>70179</v>
      </c>
      <c r="H99" s="18">
        <v>13549</v>
      </c>
      <c r="I99" s="18">
        <v>177367</v>
      </c>
      <c r="J99" s="18">
        <v>14463</v>
      </c>
      <c r="K99" s="18">
        <v>28246</v>
      </c>
      <c r="L99" s="18">
        <v>29764</v>
      </c>
      <c r="M99" s="18">
        <v>39578</v>
      </c>
      <c r="N99" s="18">
        <v>58113</v>
      </c>
      <c r="O99" s="18">
        <v>20752</v>
      </c>
      <c r="P99" s="26"/>
      <c r="Q99" s="15">
        <f t="shared" si="5"/>
        <v>240927</v>
      </c>
      <c r="R99" s="18">
        <v>27505</v>
      </c>
      <c r="S99" s="18">
        <v>213422</v>
      </c>
      <c r="T99" s="18">
        <v>145206</v>
      </c>
      <c r="U99" s="18">
        <v>95721</v>
      </c>
      <c r="V99" s="18">
        <v>20463</v>
      </c>
      <c r="W99" s="18">
        <v>220464</v>
      </c>
      <c r="X99" s="18">
        <v>16023</v>
      </c>
      <c r="Y99" s="18">
        <v>31767</v>
      </c>
      <c r="Z99" s="18">
        <v>31054</v>
      </c>
      <c r="AA99" s="18">
        <v>47645</v>
      </c>
      <c r="AB99" s="18">
        <v>77969</v>
      </c>
      <c r="AC99" s="18">
        <v>36469</v>
      </c>
    </row>
    <row r="100" spans="1:29" s="1" customFormat="1" ht="13.8" x14ac:dyDescent="0.3">
      <c r="A100" s="42">
        <v>44286</v>
      </c>
      <c r="B100" s="14">
        <f t="shared" si="3"/>
        <v>405374</v>
      </c>
      <c r="C100" s="14">
        <f t="shared" si="4"/>
        <v>177850</v>
      </c>
      <c r="D100" s="18">
        <v>21186</v>
      </c>
      <c r="E100" s="18">
        <v>156664</v>
      </c>
      <c r="F100" s="18">
        <v>111067</v>
      </c>
      <c r="G100" s="18">
        <v>66783</v>
      </c>
      <c r="H100" s="18">
        <v>12694</v>
      </c>
      <c r="I100" s="18">
        <v>165156</v>
      </c>
      <c r="J100" s="18">
        <v>14145</v>
      </c>
      <c r="K100" s="18">
        <v>25420</v>
      </c>
      <c r="L100" s="18">
        <v>27191</v>
      </c>
      <c r="M100" s="18">
        <v>37358</v>
      </c>
      <c r="N100" s="18">
        <v>54278</v>
      </c>
      <c r="O100" s="18">
        <v>19458</v>
      </c>
      <c r="P100" s="26"/>
      <c r="Q100" s="15">
        <f t="shared" si="5"/>
        <v>227524</v>
      </c>
      <c r="R100" s="18">
        <v>25796</v>
      </c>
      <c r="S100" s="18">
        <v>201728</v>
      </c>
      <c r="T100" s="18">
        <v>136370</v>
      </c>
      <c r="U100" s="18">
        <v>91154</v>
      </c>
      <c r="V100" s="18">
        <v>19284</v>
      </c>
      <c r="W100" s="18">
        <v>208240</v>
      </c>
      <c r="X100" s="18">
        <v>16346</v>
      </c>
      <c r="Y100" s="18">
        <v>29476</v>
      </c>
      <c r="Z100" s="18">
        <v>29063</v>
      </c>
      <c r="AA100" s="18">
        <v>45606</v>
      </c>
      <c r="AB100" s="18">
        <v>73174</v>
      </c>
      <c r="AC100" s="18">
        <v>33859</v>
      </c>
    </row>
    <row r="101" spans="1:29" s="1" customFormat="1" ht="13.8" x14ac:dyDescent="0.3">
      <c r="A101" s="42">
        <v>44316</v>
      </c>
      <c r="B101" s="14">
        <f t="shared" si="3"/>
        <v>396707</v>
      </c>
      <c r="C101" s="14">
        <f t="shared" si="4"/>
        <v>173601</v>
      </c>
      <c r="D101" s="18">
        <v>20391</v>
      </c>
      <c r="E101" s="18">
        <v>153210</v>
      </c>
      <c r="F101" s="18">
        <v>103734</v>
      </c>
      <c r="G101" s="18">
        <v>69867</v>
      </c>
      <c r="H101" s="18">
        <v>12428</v>
      </c>
      <c r="I101" s="18">
        <v>161173</v>
      </c>
      <c r="J101" s="18">
        <v>13963</v>
      </c>
      <c r="K101" s="18">
        <v>24970</v>
      </c>
      <c r="L101" s="18">
        <v>26778</v>
      </c>
      <c r="M101" s="18">
        <v>36216</v>
      </c>
      <c r="N101" s="18">
        <v>53000</v>
      </c>
      <c r="O101" s="18">
        <v>18674</v>
      </c>
      <c r="P101" s="26"/>
      <c r="Q101" s="15">
        <f t="shared" si="5"/>
        <v>223106</v>
      </c>
      <c r="R101" s="18">
        <v>24940</v>
      </c>
      <c r="S101" s="18">
        <v>198166</v>
      </c>
      <c r="T101" s="18">
        <v>128170</v>
      </c>
      <c r="U101" s="18">
        <v>94936</v>
      </c>
      <c r="V101" s="18">
        <v>19053</v>
      </c>
      <c r="W101" s="18">
        <v>204053</v>
      </c>
      <c r="X101" s="18">
        <v>16316</v>
      </c>
      <c r="Y101" s="18">
        <v>29141</v>
      </c>
      <c r="Z101" s="18">
        <v>28693</v>
      </c>
      <c r="AA101" s="18">
        <v>44683</v>
      </c>
      <c r="AB101" s="18">
        <v>71719</v>
      </c>
      <c r="AC101" s="18">
        <v>32554</v>
      </c>
    </row>
    <row r="102" spans="1:29" s="1" customFormat="1" ht="13.8" x14ac:dyDescent="0.3">
      <c r="A102" s="42">
        <v>44347</v>
      </c>
      <c r="B102" s="14">
        <f t="shared" si="3"/>
        <v>375429</v>
      </c>
      <c r="C102" s="14">
        <f t="shared" si="4"/>
        <v>163352</v>
      </c>
      <c r="D102" s="19">
        <v>18496</v>
      </c>
      <c r="E102" s="19">
        <v>144856</v>
      </c>
      <c r="F102" s="19">
        <v>92476</v>
      </c>
      <c r="G102" s="19">
        <v>70876</v>
      </c>
      <c r="H102" s="19">
        <v>11994</v>
      </c>
      <c r="I102" s="19">
        <v>151358</v>
      </c>
      <c r="J102" s="19">
        <v>13707</v>
      </c>
      <c r="K102" s="19">
        <v>24013</v>
      </c>
      <c r="L102" s="19">
        <v>24933</v>
      </c>
      <c r="M102" s="19">
        <v>33970</v>
      </c>
      <c r="N102" s="19">
        <v>48943</v>
      </c>
      <c r="O102" s="19">
        <v>17786</v>
      </c>
      <c r="P102" s="26"/>
      <c r="Q102" s="15">
        <f t="shared" si="5"/>
        <v>212077</v>
      </c>
      <c r="R102" s="19">
        <v>22810</v>
      </c>
      <c r="S102" s="19">
        <v>189267</v>
      </c>
      <c r="T102" s="19">
        <v>116147</v>
      </c>
      <c r="U102" s="19">
        <v>95930</v>
      </c>
      <c r="V102" s="19">
        <v>18738</v>
      </c>
      <c r="W102" s="19">
        <v>193339</v>
      </c>
      <c r="X102" s="19">
        <v>16172</v>
      </c>
      <c r="Y102" s="19">
        <v>28195</v>
      </c>
      <c r="Z102" s="19">
        <v>27176</v>
      </c>
      <c r="AA102" s="19">
        <v>42374</v>
      </c>
      <c r="AB102" s="19">
        <v>67230</v>
      </c>
      <c r="AC102" s="19">
        <v>30930</v>
      </c>
    </row>
    <row r="103" spans="1:29" s="1" customFormat="1" ht="13.8" x14ac:dyDescent="0.3">
      <c r="A103" s="42">
        <v>44377</v>
      </c>
      <c r="B103" s="14">
        <f t="shared" si="3"/>
        <v>352250</v>
      </c>
      <c r="C103" s="14">
        <f t="shared" si="4"/>
        <v>152555</v>
      </c>
      <c r="D103" s="19">
        <v>16757</v>
      </c>
      <c r="E103" s="19">
        <v>135798</v>
      </c>
      <c r="F103" s="19">
        <v>82625</v>
      </c>
      <c r="G103" s="19">
        <v>69930</v>
      </c>
      <c r="H103" s="19">
        <v>11812</v>
      </c>
      <c r="I103" s="19">
        <v>140743</v>
      </c>
      <c r="J103" s="19">
        <v>13174</v>
      </c>
      <c r="K103" s="19">
        <v>22762</v>
      </c>
      <c r="L103" s="19">
        <v>23066</v>
      </c>
      <c r="M103" s="19">
        <v>31281</v>
      </c>
      <c r="N103" s="19">
        <v>45227</v>
      </c>
      <c r="O103" s="19">
        <v>17045</v>
      </c>
      <c r="P103" s="26"/>
      <c r="Q103" s="15">
        <f t="shared" si="5"/>
        <v>199695</v>
      </c>
      <c r="R103" s="19">
        <v>20707</v>
      </c>
      <c r="S103" s="19">
        <v>178988</v>
      </c>
      <c r="T103" s="19">
        <v>104570</v>
      </c>
      <c r="U103" s="19">
        <v>95125</v>
      </c>
      <c r="V103" s="19">
        <v>18444</v>
      </c>
      <c r="W103" s="19">
        <v>181251</v>
      </c>
      <c r="X103" s="19">
        <v>15704</v>
      </c>
      <c r="Y103" s="19">
        <v>26923</v>
      </c>
      <c r="Z103" s="19">
        <v>25138</v>
      </c>
      <c r="AA103" s="19">
        <v>39355</v>
      </c>
      <c r="AB103" s="19">
        <v>62684</v>
      </c>
      <c r="AC103" s="19">
        <v>29891</v>
      </c>
    </row>
    <row r="104" spans="1:29" s="1" customFormat="1" ht="13.8" x14ac:dyDescent="0.3">
      <c r="A104" s="42">
        <v>44408</v>
      </c>
      <c r="B104" s="14">
        <f t="shared" si="3"/>
        <v>343561</v>
      </c>
      <c r="C104" s="14">
        <f t="shared" si="4"/>
        <v>146141</v>
      </c>
      <c r="D104" s="18">
        <v>15724</v>
      </c>
      <c r="E104" s="18">
        <v>130417</v>
      </c>
      <c r="F104" s="18">
        <v>76911</v>
      </c>
      <c r="G104" s="18">
        <v>69230</v>
      </c>
      <c r="H104" s="18">
        <v>11713</v>
      </c>
      <c r="I104" s="18">
        <v>134428</v>
      </c>
      <c r="J104" s="18">
        <v>12817</v>
      </c>
      <c r="K104" s="18">
        <v>21812</v>
      </c>
      <c r="L104" s="18">
        <v>22125</v>
      </c>
      <c r="M104" s="18">
        <v>29566</v>
      </c>
      <c r="N104" s="18">
        <v>42812</v>
      </c>
      <c r="O104" s="18">
        <v>17009</v>
      </c>
      <c r="P104" s="26"/>
      <c r="Q104" s="15">
        <f t="shared" si="5"/>
        <v>197420</v>
      </c>
      <c r="R104" s="18">
        <v>19641</v>
      </c>
      <c r="S104" s="18">
        <v>177779</v>
      </c>
      <c r="T104" s="18">
        <v>101848</v>
      </c>
      <c r="U104" s="18">
        <v>95572</v>
      </c>
      <c r="V104" s="18">
        <v>18319</v>
      </c>
      <c r="W104" s="18">
        <v>179101</v>
      </c>
      <c r="X104" s="18">
        <v>15467</v>
      </c>
      <c r="Y104" s="18">
        <v>26599</v>
      </c>
      <c r="Z104" s="18">
        <v>25060</v>
      </c>
      <c r="AA104" s="18">
        <v>38729</v>
      </c>
      <c r="AB104" s="18">
        <v>60948</v>
      </c>
      <c r="AC104" s="18">
        <v>30617</v>
      </c>
    </row>
    <row r="105" spans="1:29" s="1" customFormat="1" ht="13.8" x14ac:dyDescent="0.3">
      <c r="A105" s="42">
        <v>44439</v>
      </c>
      <c r="B105" s="14">
        <f t="shared" si="3"/>
        <v>344541</v>
      </c>
      <c r="C105" s="14">
        <f t="shared" si="4"/>
        <v>144879</v>
      </c>
      <c r="D105" s="18">
        <v>15617</v>
      </c>
      <c r="E105" s="18">
        <v>129262</v>
      </c>
      <c r="F105" s="18">
        <v>75448</v>
      </c>
      <c r="G105" s="18">
        <v>69431</v>
      </c>
      <c r="H105" s="18">
        <v>12018</v>
      </c>
      <c r="I105" s="18">
        <v>132861</v>
      </c>
      <c r="J105" s="18">
        <v>12573</v>
      </c>
      <c r="K105" s="18">
        <v>21175</v>
      </c>
      <c r="L105" s="18">
        <v>21621</v>
      </c>
      <c r="M105" s="18">
        <v>29224</v>
      </c>
      <c r="N105" s="18">
        <v>42808</v>
      </c>
      <c r="O105" s="18">
        <v>17478</v>
      </c>
      <c r="P105" s="26"/>
      <c r="Q105" s="15">
        <f t="shared" si="5"/>
        <v>199662</v>
      </c>
      <c r="R105" s="18">
        <v>19630</v>
      </c>
      <c r="S105" s="18">
        <v>180032</v>
      </c>
      <c r="T105" s="18">
        <v>102506</v>
      </c>
      <c r="U105" s="18">
        <v>97156</v>
      </c>
      <c r="V105" s="18">
        <v>18732</v>
      </c>
      <c r="W105" s="18">
        <v>180930</v>
      </c>
      <c r="X105" s="18">
        <v>15161</v>
      </c>
      <c r="Y105" s="18">
        <v>25975</v>
      </c>
      <c r="Z105" s="18">
        <v>24807</v>
      </c>
      <c r="AA105" s="18">
        <v>38267</v>
      </c>
      <c r="AB105" s="18">
        <v>61862</v>
      </c>
      <c r="AC105" s="18">
        <v>33590</v>
      </c>
    </row>
    <row r="106" spans="1:29" s="1" customFormat="1" ht="13.8" x14ac:dyDescent="0.3">
      <c r="A106" s="42">
        <v>44469</v>
      </c>
      <c r="B106" s="14">
        <f t="shared" si="3"/>
        <v>336282</v>
      </c>
      <c r="C106" s="14">
        <f t="shared" si="4"/>
        <v>142472</v>
      </c>
      <c r="D106" s="19">
        <v>15992</v>
      </c>
      <c r="E106" s="19">
        <v>126480</v>
      </c>
      <c r="F106" s="19">
        <v>73150</v>
      </c>
      <c r="G106" s="19">
        <v>69322</v>
      </c>
      <c r="H106" s="19">
        <v>12552</v>
      </c>
      <c r="I106" s="19">
        <v>129920</v>
      </c>
      <c r="J106" s="19">
        <v>12393</v>
      </c>
      <c r="K106" s="19">
        <v>20748</v>
      </c>
      <c r="L106" s="19">
        <v>21156</v>
      </c>
      <c r="M106" s="19">
        <v>28207</v>
      </c>
      <c r="N106" s="19">
        <v>42301</v>
      </c>
      <c r="O106" s="19">
        <v>17667</v>
      </c>
      <c r="P106" s="26"/>
      <c r="Q106" s="15">
        <f t="shared" si="5"/>
        <v>193810</v>
      </c>
      <c r="R106" s="19">
        <v>20213</v>
      </c>
      <c r="S106" s="19">
        <v>173597</v>
      </c>
      <c r="T106" s="19">
        <v>97653</v>
      </c>
      <c r="U106" s="19">
        <v>96157</v>
      </c>
      <c r="V106" s="19">
        <v>19563</v>
      </c>
      <c r="W106" s="19">
        <v>174247</v>
      </c>
      <c r="X106" s="19">
        <v>14971</v>
      </c>
      <c r="Y106" s="19">
        <v>24701</v>
      </c>
      <c r="Z106" s="19">
        <v>23283</v>
      </c>
      <c r="AA106" s="19">
        <v>36122</v>
      </c>
      <c r="AB106" s="19">
        <v>60089</v>
      </c>
      <c r="AC106" s="19">
        <v>34644</v>
      </c>
    </row>
    <row r="107" spans="1:29" s="1" customFormat="1" ht="13.8" x14ac:dyDescent="0.3">
      <c r="A107" s="42">
        <v>44499</v>
      </c>
      <c r="B107" s="14">
        <f t="shared" si="3"/>
        <v>329745</v>
      </c>
      <c r="C107" s="14">
        <f t="shared" si="4"/>
        <v>141198</v>
      </c>
      <c r="D107" s="19">
        <v>16453</v>
      </c>
      <c r="E107" s="19">
        <v>124745</v>
      </c>
      <c r="F107" s="19">
        <v>72046</v>
      </c>
      <c r="G107" s="19">
        <v>69152</v>
      </c>
      <c r="H107" s="19">
        <v>12925</v>
      </c>
      <c r="I107" s="19">
        <v>128273</v>
      </c>
      <c r="J107" s="19">
        <v>12617</v>
      </c>
      <c r="K107" s="19">
        <v>20491</v>
      </c>
      <c r="L107" s="19">
        <v>20648</v>
      </c>
      <c r="M107" s="19">
        <v>27653</v>
      </c>
      <c r="N107" s="19">
        <v>42236</v>
      </c>
      <c r="O107" s="19">
        <v>17553</v>
      </c>
      <c r="P107" s="26"/>
      <c r="Q107" s="15">
        <f t="shared" si="5"/>
        <v>188547</v>
      </c>
      <c r="R107" s="19">
        <v>20336</v>
      </c>
      <c r="S107" s="19">
        <v>168211</v>
      </c>
      <c r="T107" s="19">
        <v>93299</v>
      </c>
      <c r="U107" s="19">
        <v>95248</v>
      </c>
      <c r="V107" s="19">
        <v>19728</v>
      </c>
      <c r="W107" s="19">
        <v>168819</v>
      </c>
      <c r="X107" s="19">
        <v>15012</v>
      </c>
      <c r="Y107" s="19">
        <v>24251</v>
      </c>
      <c r="Z107" s="19">
        <v>22492</v>
      </c>
      <c r="AA107" s="19">
        <v>34920</v>
      </c>
      <c r="AB107" s="19">
        <v>59191</v>
      </c>
      <c r="AC107" s="19">
        <v>32681</v>
      </c>
    </row>
    <row r="108" spans="1:29" s="1" customFormat="1" ht="13.8" x14ac:dyDescent="0.3">
      <c r="A108" s="42">
        <v>44530</v>
      </c>
      <c r="B108" s="14">
        <f t="shared" si="3"/>
        <v>345884</v>
      </c>
      <c r="C108" s="14">
        <f t="shared" si="4"/>
        <v>150545</v>
      </c>
      <c r="D108" s="19">
        <v>17272</v>
      </c>
      <c r="E108" s="19">
        <v>133273</v>
      </c>
      <c r="F108" s="19">
        <v>77529</v>
      </c>
      <c r="G108" s="19">
        <v>73016</v>
      </c>
      <c r="H108" s="19">
        <v>13285</v>
      </c>
      <c r="I108" s="19">
        <v>137260</v>
      </c>
      <c r="J108" s="19">
        <v>14154</v>
      </c>
      <c r="K108" s="19">
        <v>22704</v>
      </c>
      <c r="L108" s="19">
        <v>22573</v>
      </c>
      <c r="M108" s="19">
        <v>29152</v>
      </c>
      <c r="N108" s="19">
        <v>44221</v>
      </c>
      <c r="O108" s="19">
        <v>17741</v>
      </c>
      <c r="P108" s="26"/>
      <c r="Q108" s="15">
        <f t="shared" si="5"/>
        <v>195339</v>
      </c>
      <c r="R108" s="19">
        <v>20837</v>
      </c>
      <c r="S108" s="19">
        <v>174502</v>
      </c>
      <c r="T108" s="19">
        <v>96437</v>
      </c>
      <c r="U108" s="19">
        <v>98902</v>
      </c>
      <c r="V108" s="19">
        <v>20024</v>
      </c>
      <c r="W108" s="19">
        <v>175315</v>
      </c>
      <c r="X108" s="19">
        <v>15820</v>
      </c>
      <c r="Y108" s="19">
        <v>26007</v>
      </c>
      <c r="Z108" s="19">
        <v>24236</v>
      </c>
      <c r="AA108" s="19">
        <v>36313</v>
      </c>
      <c r="AB108" s="19">
        <v>61116</v>
      </c>
      <c r="AC108" s="19">
        <v>31847</v>
      </c>
    </row>
    <row r="109" spans="1:29" s="1" customFormat="1" ht="13.8" x14ac:dyDescent="0.3">
      <c r="A109" s="42">
        <v>44561</v>
      </c>
      <c r="B109" s="14">
        <f t="shared" si="3"/>
        <v>347959</v>
      </c>
      <c r="C109" s="14">
        <f t="shared" si="4"/>
        <v>152829</v>
      </c>
      <c r="D109" s="19">
        <v>16427</v>
      </c>
      <c r="E109" s="19">
        <v>136402</v>
      </c>
      <c r="F109" s="19">
        <v>80419</v>
      </c>
      <c r="G109" s="19">
        <v>72410</v>
      </c>
      <c r="H109" s="19">
        <v>12651</v>
      </c>
      <c r="I109" s="19">
        <v>140178</v>
      </c>
      <c r="J109" s="19">
        <v>14568</v>
      </c>
      <c r="K109" s="19">
        <v>23048</v>
      </c>
      <c r="L109" s="19">
        <v>23565</v>
      </c>
      <c r="M109" s="19">
        <v>29960</v>
      </c>
      <c r="N109" s="19">
        <v>44524</v>
      </c>
      <c r="O109" s="19">
        <v>17164</v>
      </c>
      <c r="P109" s="26"/>
      <c r="Q109" s="15">
        <f t="shared" si="5"/>
        <v>195130</v>
      </c>
      <c r="R109" s="19">
        <v>19730</v>
      </c>
      <c r="S109" s="19">
        <v>175400</v>
      </c>
      <c r="T109" s="19">
        <v>96466</v>
      </c>
      <c r="U109" s="19">
        <v>98664</v>
      </c>
      <c r="V109" s="19">
        <v>19262</v>
      </c>
      <c r="W109" s="19">
        <v>175868</v>
      </c>
      <c r="X109" s="19">
        <v>15887</v>
      </c>
      <c r="Y109" s="19">
        <v>26243</v>
      </c>
      <c r="Z109" s="19">
        <v>24525</v>
      </c>
      <c r="AA109" s="19">
        <v>36732</v>
      </c>
      <c r="AB109" s="19">
        <v>61092</v>
      </c>
      <c r="AC109" s="19">
        <v>30651</v>
      </c>
    </row>
    <row r="110" spans="1:29" s="1" customFormat="1" ht="13.8" x14ac:dyDescent="0.3">
      <c r="A110" s="38"/>
      <c r="B110" s="23"/>
      <c r="C110" s="23"/>
      <c r="Q110" s="24"/>
    </row>
    <row r="111" spans="1:29" s="1" customFormat="1" ht="13.8" x14ac:dyDescent="0.3">
      <c r="A111" s="38"/>
      <c r="B111" s="23"/>
      <c r="C111" s="23"/>
      <c r="Q111" s="24"/>
    </row>
    <row r="112" spans="1:29" s="1" customFormat="1" ht="13.8" x14ac:dyDescent="0.3">
      <c r="A112" s="38"/>
      <c r="B112" s="23"/>
      <c r="C112" s="23"/>
      <c r="Q112" s="24"/>
    </row>
    <row r="113" spans="1:17" s="1" customFormat="1" ht="13.8" x14ac:dyDescent="0.3">
      <c r="A113" s="38"/>
      <c r="B113" s="23"/>
      <c r="C113" s="23"/>
      <c r="Q113" s="24"/>
    </row>
    <row r="114" spans="1:17" s="1" customFormat="1" ht="13.8" x14ac:dyDescent="0.3">
      <c r="A114" s="38"/>
      <c r="B114" s="23"/>
      <c r="C114" s="23"/>
      <c r="Q114" s="24"/>
    </row>
    <row r="115" spans="1:17" s="1" customFormat="1" ht="13.8" x14ac:dyDescent="0.3">
      <c r="A115" s="38"/>
      <c r="B115" s="23"/>
      <c r="C115" s="23"/>
      <c r="Q115" s="24"/>
    </row>
    <row r="116" spans="1:17" s="1" customFormat="1" ht="13.8" x14ac:dyDescent="0.3">
      <c r="A116" s="38"/>
      <c r="B116" s="23"/>
      <c r="C116" s="23"/>
      <c r="Q116" s="24"/>
    </row>
    <row r="117" spans="1:17" s="1" customFormat="1" ht="13.8" x14ac:dyDescent="0.3">
      <c r="A117" s="38"/>
      <c r="B117" s="23"/>
      <c r="C117" s="23"/>
      <c r="Q117" s="24"/>
    </row>
    <row r="118" spans="1:17" s="1" customFormat="1" ht="13.8" x14ac:dyDescent="0.3">
      <c r="A118" s="38"/>
      <c r="B118" s="23"/>
      <c r="C118" s="23"/>
      <c r="Q118" s="24"/>
    </row>
    <row r="119" spans="1:17" s="1" customFormat="1" ht="13.8" x14ac:dyDescent="0.3">
      <c r="A119" s="38"/>
      <c r="B119" s="23"/>
      <c r="C119" s="23"/>
      <c r="Q119" s="24"/>
    </row>
    <row r="120" spans="1:17" s="1" customFormat="1" ht="13.8" x14ac:dyDescent="0.3">
      <c r="A120" s="38"/>
      <c r="B120" s="23"/>
      <c r="C120" s="23"/>
      <c r="Q120" s="24"/>
    </row>
    <row r="121" spans="1:17" s="1" customFormat="1" ht="13.8" x14ac:dyDescent="0.3">
      <c r="A121" s="38"/>
      <c r="B121" s="23"/>
      <c r="C121" s="23"/>
      <c r="Q121" s="24"/>
    </row>
    <row r="122" spans="1:17" s="1" customFormat="1" ht="13.8" x14ac:dyDescent="0.3">
      <c r="A122" s="38"/>
      <c r="B122" s="23"/>
      <c r="C122" s="23"/>
      <c r="Q122" s="24"/>
    </row>
    <row r="123" spans="1:17" s="1" customFormat="1" ht="13.8" x14ac:dyDescent="0.3">
      <c r="A123" s="38"/>
      <c r="B123" s="23"/>
      <c r="C123" s="23"/>
      <c r="Q123" s="24"/>
    </row>
    <row r="124" spans="1:17" s="1" customFormat="1" ht="13.8" x14ac:dyDescent="0.3">
      <c r="A124" s="38"/>
      <c r="B124" s="23"/>
      <c r="C124" s="23"/>
      <c r="Q124" s="24"/>
    </row>
    <row r="125" spans="1:17" s="1" customFormat="1" ht="13.8" x14ac:dyDescent="0.3">
      <c r="A125" s="38"/>
      <c r="B125" s="23"/>
      <c r="C125" s="23"/>
      <c r="Q125" s="24"/>
    </row>
    <row r="126" spans="1:17" s="1" customFormat="1" ht="13.8" x14ac:dyDescent="0.3">
      <c r="A126" s="38"/>
      <c r="B126" s="23"/>
      <c r="C126" s="23"/>
      <c r="Q126" s="24"/>
    </row>
    <row r="127" spans="1:17" s="1" customFormat="1" ht="13.8" x14ac:dyDescent="0.3">
      <c r="A127" s="38"/>
      <c r="B127" s="23"/>
      <c r="C127" s="23"/>
      <c r="Q127" s="24"/>
    </row>
    <row r="128" spans="1:17" s="1" customFormat="1" ht="13.8" x14ac:dyDescent="0.3">
      <c r="A128" s="38"/>
      <c r="B128" s="23"/>
      <c r="C128" s="23"/>
      <c r="Q128" s="24"/>
    </row>
    <row r="129" spans="1:17" s="1" customFormat="1" ht="13.8" x14ac:dyDescent="0.3">
      <c r="A129" s="38"/>
      <c r="B129" s="23"/>
      <c r="C129" s="23"/>
      <c r="Q129" s="24"/>
    </row>
    <row r="130" spans="1:17" s="1" customFormat="1" ht="13.8" x14ac:dyDescent="0.3">
      <c r="A130" s="38"/>
      <c r="B130" s="23"/>
      <c r="C130" s="23"/>
      <c r="Q130" s="24"/>
    </row>
    <row r="131" spans="1:17" s="1" customFormat="1" ht="13.8" x14ac:dyDescent="0.3">
      <c r="A131" s="38"/>
      <c r="B131" s="23"/>
      <c r="C131" s="23"/>
      <c r="Q131" s="24"/>
    </row>
    <row r="132" spans="1:17" s="1" customFormat="1" ht="13.8" x14ac:dyDescent="0.3">
      <c r="A132" s="38"/>
      <c r="B132" s="23"/>
      <c r="C132" s="23"/>
      <c r="Q132" s="24"/>
    </row>
    <row r="133" spans="1:17" s="1" customFormat="1" ht="13.8" x14ac:dyDescent="0.3">
      <c r="A133" s="38"/>
      <c r="B133" s="23"/>
      <c r="C133" s="23"/>
      <c r="Q133" s="24"/>
    </row>
    <row r="134" spans="1:17" s="1" customFormat="1" ht="13.8" x14ac:dyDescent="0.3">
      <c r="A134" s="38"/>
      <c r="B134" s="23"/>
      <c r="C134" s="23"/>
      <c r="Q134" s="24"/>
    </row>
    <row r="135" spans="1:17" s="1" customFormat="1" ht="13.8" x14ac:dyDescent="0.3">
      <c r="A135" s="38"/>
      <c r="B135" s="23"/>
      <c r="C135" s="23"/>
      <c r="Q135" s="24"/>
    </row>
    <row r="136" spans="1:17" s="1" customFormat="1" ht="13.8" x14ac:dyDescent="0.3">
      <c r="A136" s="38"/>
      <c r="B136" s="23"/>
      <c r="C136" s="23"/>
      <c r="Q136" s="24"/>
    </row>
    <row r="137" spans="1:17" s="1" customFormat="1" ht="13.8" x14ac:dyDescent="0.3">
      <c r="A137" s="38"/>
      <c r="B137" s="23"/>
      <c r="C137" s="23"/>
      <c r="Q137" s="24"/>
    </row>
    <row r="138" spans="1:17" s="1" customFormat="1" ht="13.8" x14ac:dyDescent="0.3">
      <c r="A138" s="38"/>
      <c r="B138" s="23"/>
      <c r="C138" s="23"/>
      <c r="Q138" s="24"/>
    </row>
    <row r="139" spans="1:17" s="1" customFormat="1" ht="13.8" x14ac:dyDescent="0.3">
      <c r="A139" s="38"/>
      <c r="B139" s="23"/>
      <c r="C139" s="23"/>
      <c r="Q139" s="24"/>
    </row>
    <row r="140" spans="1:17" s="1" customFormat="1" ht="13.8" x14ac:dyDescent="0.3">
      <c r="A140" s="38"/>
      <c r="B140" s="23"/>
      <c r="C140" s="23"/>
      <c r="Q140" s="24"/>
    </row>
    <row r="141" spans="1:17" s="1" customFormat="1" ht="13.8" x14ac:dyDescent="0.3">
      <c r="A141" s="38"/>
      <c r="B141" s="23"/>
      <c r="C141" s="23"/>
      <c r="Q141" s="24"/>
    </row>
    <row r="142" spans="1:17" s="1" customFormat="1" ht="13.8" x14ac:dyDescent="0.3">
      <c r="A142" s="38"/>
      <c r="B142" s="23"/>
      <c r="C142" s="23"/>
      <c r="Q142" s="24"/>
    </row>
    <row r="143" spans="1:17" s="1" customFormat="1" ht="13.8" x14ac:dyDescent="0.3">
      <c r="A143" s="38"/>
      <c r="B143" s="23"/>
      <c r="C143" s="23"/>
      <c r="Q143" s="24"/>
    </row>
    <row r="144" spans="1:17" s="1" customFormat="1" ht="13.8" x14ac:dyDescent="0.3">
      <c r="A144" s="38"/>
      <c r="B144" s="23"/>
      <c r="C144" s="23"/>
      <c r="Q144" s="24"/>
    </row>
    <row r="145" spans="1:17" s="1" customFormat="1" ht="13.8" x14ac:dyDescent="0.3">
      <c r="A145" s="38"/>
      <c r="B145" s="23"/>
      <c r="C145" s="23"/>
      <c r="Q145" s="24"/>
    </row>
    <row r="146" spans="1:17" s="1" customFormat="1" ht="13.8" x14ac:dyDescent="0.3">
      <c r="A146" s="38"/>
      <c r="B146" s="23"/>
      <c r="C146" s="23"/>
      <c r="Q146" s="24"/>
    </row>
    <row r="147" spans="1:17" s="1" customFormat="1" ht="13.8" x14ac:dyDescent="0.3">
      <c r="A147" s="38"/>
      <c r="B147" s="23"/>
      <c r="C147" s="23"/>
      <c r="Q147" s="24"/>
    </row>
    <row r="148" spans="1:17" s="1" customFormat="1" ht="13.8" x14ac:dyDescent="0.3">
      <c r="A148" s="38"/>
      <c r="B148" s="23"/>
      <c r="C148" s="23"/>
      <c r="Q148" s="24"/>
    </row>
    <row r="149" spans="1:17" s="1" customFormat="1" ht="13.8" x14ac:dyDescent="0.3">
      <c r="A149" s="38"/>
      <c r="B149" s="23"/>
      <c r="C149" s="23"/>
      <c r="Q149" s="24"/>
    </row>
    <row r="150" spans="1:17" s="1" customFormat="1" ht="13.8" x14ac:dyDescent="0.3">
      <c r="A150" s="38"/>
      <c r="B150" s="23"/>
      <c r="C150" s="23"/>
      <c r="Q150" s="24"/>
    </row>
    <row r="151" spans="1:17" s="1" customFormat="1" ht="13.8" x14ac:dyDescent="0.3">
      <c r="A151" s="38"/>
      <c r="B151" s="23"/>
      <c r="C151" s="23"/>
      <c r="Q151" s="24"/>
    </row>
    <row r="152" spans="1:17" s="1" customFormat="1" ht="13.8" x14ac:dyDescent="0.3">
      <c r="A152" s="38"/>
      <c r="B152" s="23"/>
      <c r="C152" s="23"/>
      <c r="Q152" s="24"/>
    </row>
    <row r="153" spans="1:17" s="1" customFormat="1" ht="13.8" x14ac:dyDescent="0.3">
      <c r="A153" s="38"/>
      <c r="B153" s="23"/>
      <c r="C153" s="23"/>
      <c r="Q153" s="24"/>
    </row>
    <row r="154" spans="1:17" s="1" customFormat="1" ht="13.8" x14ac:dyDescent="0.3">
      <c r="A154" s="38"/>
      <c r="B154" s="23"/>
      <c r="C154" s="23"/>
      <c r="Q154" s="24"/>
    </row>
    <row r="155" spans="1:17" s="1" customFormat="1" ht="13.8" x14ac:dyDescent="0.3">
      <c r="A155" s="38"/>
      <c r="B155" s="23"/>
      <c r="C155" s="23"/>
      <c r="Q155" s="24"/>
    </row>
    <row r="156" spans="1:17" s="1" customFormat="1" ht="13.8" x14ac:dyDescent="0.3">
      <c r="A156" s="38"/>
      <c r="B156" s="23"/>
      <c r="C156" s="23"/>
      <c r="Q156" s="24"/>
    </row>
    <row r="157" spans="1:17" s="1" customFormat="1" ht="13.8" x14ac:dyDescent="0.3">
      <c r="A157" s="38"/>
      <c r="B157" s="23"/>
      <c r="C157" s="23"/>
      <c r="Q157" s="24"/>
    </row>
    <row r="158" spans="1:17" s="1" customFormat="1" ht="13.8" x14ac:dyDescent="0.3">
      <c r="A158" s="38"/>
      <c r="B158" s="23"/>
      <c r="C158" s="23"/>
      <c r="Q158" s="24"/>
    </row>
    <row r="159" spans="1:17" s="1" customFormat="1" ht="13.8" x14ac:dyDescent="0.3">
      <c r="A159" s="38"/>
      <c r="B159" s="23"/>
      <c r="C159" s="23"/>
      <c r="Q159" s="24"/>
    </row>
    <row r="160" spans="1:17" s="1" customFormat="1" ht="13.8" x14ac:dyDescent="0.3">
      <c r="A160" s="38"/>
      <c r="B160" s="23"/>
      <c r="C160" s="23"/>
      <c r="Q160" s="24"/>
    </row>
    <row r="161" spans="1:17" s="1" customFormat="1" ht="13.8" x14ac:dyDescent="0.3">
      <c r="A161" s="38"/>
      <c r="B161" s="23"/>
      <c r="C161" s="23"/>
      <c r="Q161" s="24"/>
    </row>
    <row r="162" spans="1:17" s="1" customFormat="1" ht="13.8" x14ac:dyDescent="0.3">
      <c r="A162" s="38"/>
      <c r="B162" s="23"/>
      <c r="C162" s="23"/>
      <c r="Q162" s="24"/>
    </row>
    <row r="163" spans="1:17" s="1" customFormat="1" ht="13.8" x14ac:dyDescent="0.3">
      <c r="A163" s="38"/>
      <c r="B163" s="23"/>
      <c r="C163" s="23"/>
      <c r="Q163" s="24"/>
    </row>
    <row r="164" spans="1:17" s="1" customFormat="1" ht="13.8" x14ac:dyDescent="0.3">
      <c r="A164" s="38"/>
      <c r="B164" s="23"/>
      <c r="C164" s="23"/>
      <c r="Q164" s="24"/>
    </row>
    <row r="165" spans="1:17" s="1" customFormat="1" ht="13.8" x14ac:dyDescent="0.3">
      <c r="A165" s="38"/>
      <c r="B165" s="23"/>
      <c r="C165" s="23"/>
      <c r="Q165" s="24"/>
    </row>
    <row r="166" spans="1:17" s="1" customFormat="1" ht="13.8" x14ac:dyDescent="0.3">
      <c r="A166" s="38"/>
      <c r="B166" s="24"/>
      <c r="C166" s="23"/>
      <c r="Q166" s="24"/>
    </row>
    <row r="167" spans="1:17" s="1" customFormat="1" ht="13.8" x14ac:dyDescent="0.3">
      <c r="A167" s="38"/>
      <c r="B167" s="24"/>
      <c r="C167" s="23"/>
      <c r="Q167" s="24"/>
    </row>
    <row r="168" spans="1:17" s="1" customFormat="1" ht="13.8" x14ac:dyDescent="0.3">
      <c r="A168" s="38"/>
      <c r="B168" s="24"/>
      <c r="C168" s="23"/>
      <c r="Q168" s="24"/>
    </row>
    <row r="169" spans="1:17" s="1" customFormat="1" ht="13.8" x14ac:dyDescent="0.3">
      <c r="A169" s="38"/>
      <c r="B169" s="24"/>
      <c r="C169" s="23"/>
      <c r="Q169" s="24"/>
    </row>
    <row r="170" spans="1:17" s="1" customFormat="1" ht="13.8" x14ac:dyDescent="0.3">
      <c r="A170" s="38"/>
      <c r="B170" s="24"/>
      <c r="C170" s="23"/>
      <c r="Q170" s="24"/>
    </row>
    <row r="171" spans="1:17" s="1" customFormat="1" ht="13.8" x14ac:dyDescent="0.3">
      <c r="A171" s="38"/>
      <c r="B171" s="24"/>
      <c r="C171" s="23"/>
      <c r="Q171" s="24"/>
    </row>
    <row r="172" spans="1:17" s="1" customFormat="1" ht="13.8" x14ac:dyDescent="0.3">
      <c r="A172" s="38"/>
      <c r="B172" s="24"/>
      <c r="C172" s="23"/>
      <c r="Q172" s="24"/>
    </row>
    <row r="173" spans="1:17" s="1" customFormat="1" ht="13.8" x14ac:dyDescent="0.3">
      <c r="A173" s="38"/>
      <c r="B173" s="24"/>
      <c r="C173" s="23"/>
      <c r="Q173" s="24"/>
    </row>
    <row r="174" spans="1:17" s="1" customFormat="1" ht="13.8" x14ac:dyDescent="0.3">
      <c r="A174" s="38"/>
      <c r="B174" s="24"/>
      <c r="C174" s="23"/>
      <c r="Q174" s="24"/>
    </row>
    <row r="175" spans="1:17" s="1" customFormat="1" ht="13.8" x14ac:dyDescent="0.3">
      <c r="A175" s="38"/>
      <c r="B175" s="24"/>
      <c r="C175" s="23"/>
      <c r="Q175" s="24"/>
    </row>
    <row r="176" spans="1:17" s="1" customFormat="1" ht="13.8" x14ac:dyDescent="0.3">
      <c r="A176" s="38"/>
      <c r="B176" s="24"/>
      <c r="C176" s="23"/>
      <c r="Q176" s="24"/>
    </row>
    <row r="177" spans="1:17" s="1" customFormat="1" ht="13.8" x14ac:dyDescent="0.3">
      <c r="A177" s="38"/>
      <c r="B177" s="24"/>
      <c r="C177" s="23"/>
      <c r="Q177" s="24"/>
    </row>
    <row r="178" spans="1:17" s="1" customFormat="1" ht="13.8" x14ac:dyDescent="0.3">
      <c r="A178" s="38"/>
      <c r="B178" s="24"/>
      <c r="C178" s="23"/>
      <c r="Q178" s="24"/>
    </row>
    <row r="179" spans="1:17" s="1" customFormat="1" ht="13.8" x14ac:dyDescent="0.3">
      <c r="A179" s="38"/>
      <c r="B179" s="24"/>
      <c r="C179" s="23"/>
      <c r="Q179" s="24"/>
    </row>
    <row r="180" spans="1:17" s="1" customFormat="1" ht="13.8" x14ac:dyDescent="0.3">
      <c r="A180" s="38"/>
      <c r="B180" s="24"/>
      <c r="C180" s="23"/>
      <c r="Q180" s="24"/>
    </row>
    <row r="181" spans="1:17" s="1" customFormat="1" ht="13.8" x14ac:dyDescent="0.3">
      <c r="A181" s="38"/>
      <c r="B181" s="24"/>
      <c r="C181" s="23"/>
      <c r="Q181" s="24"/>
    </row>
    <row r="182" spans="1:17" s="1" customFormat="1" ht="13.8" x14ac:dyDescent="0.3">
      <c r="A182" s="38"/>
      <c r="B182" s="24"/>
      <c r="C182" s="23"/>
      <c r="Q182" s="24"/>
    </row>
    <row r="183" spans="1:17" s="1" customFormat="1" ht="13.8" x14ac:dyDescent="0.3">
      <c r="A183" s="38"/>
      <c r="B183" s="24"/>
      <c r="C183" s="23"/>
      <c r="Q183" s="24"/>
    </row>
    <row r="184" spans="1:17" s="1" customFormat="1" ht="13.8" x14ac:dyDescent="0.3">
      <c r="A184" s="38"/>
      <c r="B184" s="24"/>
      <c r="C184" s="23"/>
      <c r="Q184" s="24"/>
    </row>
    <row r="185" spans="1:17" s="1" customFormat="1" ht="13.8" x14ac:dyDescent="0.3">
      <c r="A185" s="38"/>
      <c r="B185" s="24"/>
      <c r="C185" s="23"/>
      <c r="Q185" s="24"/>
    </row>
    <row r="186" spans="1:17" s="1" customFormat="1" ht="13.8" x14ac:dyDescent="0.3">
      <c r="A186" s="38"/>
      <c r="B186" s="24"/>
      <c r="C186" s="23"/>
      <c r="Q186" s="24"/>
    </row>
    <row r="187" spans="1:17" s="1" customFormat="1" ht="13.8" x14ac:dyDescent="0.3">
      <c r="A187" s="38"/>
      <c r="B187" s="24"/>
      <c r="C187" s="23"/>
      <c r="Q187" s="24"/>
    </row>
    <row r="188" spans="1:17" s="1" customFormat="1" ht="13.8" x14ac:dyDescent="0.3">
      <c r="A188" s="38"/>
      <c r="B188" s="24"/>
      <c r="C188" s="23"/>
      <c r="Q188" s="24"/>
    </row>
    <row r="189" spans="1:17" s="1" customFormat="1" ht="13.8" x14ac:dyDescent="0.3">
      <c r="A189" s="38"/>
      <c r="B189" s="24"/>
      <c r="C189" s="23"/>
      <c r="Q189" s="24"/>
    </row>
    <row r="190" spans="1:17" s="1" customFormat="1" ht="13.8" x14ac:dyDescent="0.3">
      <c r="A190" s="38"/>
      <c r="B190" s="24"/>
      <c r="C190" s="23"/>
      <c r="Q190" s="24"/>
    </row>
    <row r="191" spans="1:17" s="1" customFormat="1" ht="13.8" x14ac:dyDescent="0.3">
      <c r="A191" s="38"/>
      <c r="B191" s="24"/>
      <c r="C191" s="23"/>
      <c r="Q191" s="24"/>
    </row>
    <row r="192" spans="1:17" s="1" customFormat="1" ht="13.8" x14ac:dyDescent="0.3">
      <c r="A192" s="38"/>
      <c r="B192" s="24"/>
      <c r="C192" s="23"/>
      <c r="Q192" s="24"/>
    </row>
    <row r="193" spans="1:17" s="1" customFormat="1" ht="13.8" x14ac:dyDescent="0.3">
      <c r="A193" s="38"/>
      <c r="B193" s="24"/>
      <c r="C193" s="23"/>
      <c r="Q193" s="24"/>
    </row>
    <row r="194" spans="1:17" s="1" customFormat="1" ht="13.8" x14ac:dyDescent="0.3">
      <c r="A194" s="38"/>
      <c r="B194" s="24"/>
      <c r="C194" s="23"/>
      <c r="Q194" s="24"/>
    </row>
    <row r="195" spans="1:17" s="1" customFormat="1" ht="13.8" x14ac:dyDescent="0.3">
      <c r="A195" s="38"/>
      <c r="B195" s="24"/>
      <c r="C195" s="23"/>
      <c r="Q195" s="24"/>
    </row>
    <row r="196" spans="1:17" s="1" customFormat="1" ht="13.8" x14ac:dyDescent="0.3">
      <c r="A196" s="38"/>
      <c r="B196" s="24"/>
      <c r="C196" s="23"/>
      <c r="Q196" s="24"/>
    </row>
    <row r="197" spans="1:17" s="1" customFormat="1" ht="13.8" x14ac:dyDescent="0.3">
      <c r="A197" s="38"/>
      <c r="B197" s="24"/>
      <c r="C197" s="23"/>
      <c r="Q197" s="24"/>
    </row>
    <row r="198" spans="1:17" s="1" customFormat="1" ht="13.8" x14ac:dyDescent="0.3">
      <c r="A198" s="38"/>
      <c r="B198" s="24"/>
      <c r="C198" s="23"/>
      <c r="Q198" s="24"/>
    </row>
    <row r="199" spans="1:17" s="1" customFormat="1" ht="13.8" x14ac:dyDescent="0.3">
      <c r="A199" s="38"/>
      <c r="B199" s="24"/>
      <c r="C199" s="23"/>
      <c r="Q199" s="24"/>
    </row>
    <row r="200" spans="1:17" s="1" customFormat="1" ht="13.8" x14ac:dyDescent="0.3">
      <c r="A200" s="38"/>
      <c r="B200" s="24"/>
      <c r="C200" s="23"/>
      <c r="Q200" s="24"/>
    </row>
    <row r="201" spans="1:17" s="1" customFormat="1" ht="13.8" x14ac:dyDescent="0.3">
      <c r="A201" s="38"/>
      <c r="B201" s="24"/>
      <c r="C201" s="23"/>
      <c r="Q201" s="24"/>
    </row>
    <row r="202" spans="1:17" s="1" customFormat="1" ht="13.8" x14ac:dyDescent="0.3">
      <c r="A202" s="38"/>
      <c r="B202" s="24"/>
      <c r="C202" s="23"/>
      <c r="Q202" s="24"/>
    </row>
    <row r="203" spans="1:17" s="1" customFormat="1" ht="13.8" x14ac:dyDescent="0.3">
      <c r="A203" s="38"/>
      <c r="B203" s="24"/>
      <c r="C203" s="23"/>
      <c r="Q203" s="24"/>
    </row>
    <row r="204" spans="1:17" s="1" customFormat="1" ht="13.8" x14ac:dyDescent="0.3">
      <c r="A204" s="38"/>
      <c r="B204" s="24"/>
      <c r="C204" s="23"/>
      <c r="Q204" s="24"/>
    </row>
    <row r="205" spans="1:17" s="1" customFormat="1" ht="13.8" x14ac:dyDescent="0.3">
      <c r="A205" s="38"/>
      <c r="B205" s="24"/>
      <c r="C205" s="23"/>
      <c r="Q205" s="24"/>
    </row>
    <row r="206" spans="1:17" s="1" customFormat="1" ht="13.8" x14ac:dyDescent="0.3">
      <c r="A206" s="38"/>
      <c r="B206" s="24"/>
      <c r="C206" s="23"/>
      <c r="Q206" s="24"/>
    </row>
    <row r="207" spans="1:17" s="1" customFormat="1" ht="13.8" x14ac:dyDescent="0.3">
      <c r="A207" s="38"/>
      <c r="B207" s="24"/>
      <c r="C207" s="23"/>
      <c r="Q207" s="24"/>
    </row>
    <row r="208" spans="1:17" s="1" customFormat="1" ht="13.8" x14ac:dyDescent="0.3">
      <c r="A208" s="38"/>
      <c r="B208" s="24"/>
      <c r="C208" s="23"/>
      <c r="Q208" s="24"/>
    </row>
    <row r="209" spans="1:17" s="1" customFormat="1" ht="13.8" x14ac:dyDescent="0.3">
      <c r="A209" s="38"/>
      <c r="B209" s="24"/>
      <c r="C209" s="23"/>
      <c r="Q209" s="24"/>
    </row>
    <row r="210" spans="1:17" s="1" customFormat="1" ht="13.8" x14ac:dyDescent="0.3">
      <c r="A210" s="38"/>
      <c r="B210" s="24"/>
      <c r="C210" s="23"/>
      <c r="Q210" s="24"/>
    </row>
    <row r="211" spans="1:17" s="1" customFormat="1" ht="13.8" x14ac:dyDescent="0.3">
      <c r="A211" s="38"/>
      <c r="B211" s="24"/>
      <c r="C211" s="23"/>
      <c r="Q211" s="24"/>
    </row>
    <row r="212" spans="1:17" s="1" customFormat="1" ht="13.8" x14ac:dyDescent="0.3">
      <c r="A212" s="38"/>
      <c r="B212" s="24"/>
      <c r="C212" s="23"/>
      <c r="Q212" s="24"/>
    </row>
    <row r="213" spans="1:17" x14ac:dyDescent="0.3">
      <c r="B213" s="3"/>
      <c r="C213" s="5"/>
      <c r="Q213" s="3"/>
    </row>
    <row r="214" spans="1:17" x14ac:dyDescent="0.3">
      <c r="B214" s="3"/>
      <c r="C214" s="5"/>
      <c r="Q214" s="3"/>
    </row>
    <row r="215" spans="1:17" x14ac:dyDescent="0.3">
      <c r="B215" s="3"/>
      <c r="C215" s="5"/>
      <c r="Q215" s="3"/>
    </row>
    <row r="216" spans="1:17" x14ac:dyDescent="0.3">
      <c r="B216" s="3"/>
      <c r="C216" s="5"/>
      <c r="Q216" s="3"/>
    </row>
    <row r="217" spans="1:17" x14ac:dyDescent="0.3">
      <c r="B217" s="3"/>
      <c r="C217" s="5"/>
      <c r="Q217" s="3"/>
    </row>
    <row r="218" spans="1:17" x14ac:dyDescent="0.3">
      <c r="B218" s="3"/>
      <c r="C218" s="5"/>
      <c r="Q218" s="3"/>
    </row>
    <row r="219" spans="1:17" x14ac:dyDescent="0.3">
      <c r="C219" s="4"/>
      <c r="Q219" s="3"/>
    </row>
    <row r="220" spans="1:17" x14ac:dyDescent="0.3">
      <c r="C220" s="4"/>
      <c r="Q220" s="3"/>
    </row>
    <row r="221" spans="1:17" x14ac:dyDescent="0.3">
      <c r="Q221" s="3"/>
    </row>
    <row r="222" spans="1:17" x14ac:dyDescent="0.3">
      <c r="Q222" s="3"/>
    </row>
    <row r="223" spans="1:17" x14ac:dyDescent="0.3">
      <c r="Q223" s="3"/>
    </row>
    <row r="224" spans="1:17" x14ac:dyDescent="0.3">
      <c r="Q224" s="3"/>
    </row>
    <row r="225" spans="17:17" x14ac:dyDescent="0.3">
      <c r="Q225" s="3"/>
    </row>
    <row r="226" spans="17:17" x14ac:dyDescent="0.3">
      <c r="Q226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2C5FD-BE01-4EBC-AC32-50E5A35F9F7A}">
  <dimension ref="A1:L235"/>
  <sheetViews>
    <sheetView zoomScale="95" zoomScaleNormal="95" workbookViewId="0"/>
  </sheetViews>
  <sheetFormatPr defaultRowHeight="14.4" x14ac:dyDescent="0.3"/>
  <cols>
    <col min="1" max="1" width="10.5546875" style="40" bestFit="1" customWidth="1"/>
    <col min="2" max="2" width="11.21875" bestFit="1" customWidth="1"/>
    <col min="3" max="3" width="13.21875" bestFit="1" customWidth="1"/>
    <col min="4" max="5" width="7.44140625" bestFit="1" customWidth="1"/>
    <col min="6" max="6" width="14" bestFit="1" customWidth="1"/>
    <col min="7" max="7" width="9.109375" bestFit="1" customWidth="1"/>
    <col min="8" max="8" width="8.21875" bestFit="1" customWidth="1"/>
    <col min="9" max="9" width="18.44140625" bestFit="1" customWidth="1"/>
    <col min="10" max="10" width="7.44140625" bestFit="1" customWidth="1"/>
    <col min="11" max="11" width="8.88671875" bestFit="1" customWidth="1"/>
    <col min="12" max="12" width="17.109375" bestFit="1" customWidth="1"/>
    <col min="13" max="13" width="18" bestFit="1" customWidth="1"/>
  </cols>
  <sheetData>
    <row r="1" spans="1:12" ht="15.6" x14ac:dyDescent="0.3">
      <c r="A1" s="44" t="s">
        <v>57</v>
      </c>
      <c r="B1" s="45" t="s">
        <v>0</v>
      </c>
      <c r="C1" s="45" t="s">
        <v>1</v>
      </c>
      <c r="D1" s="45" t="s">
        <v>2</v>
      </c>
      <c r="E1" s="45" t="s">
        <v>3</v>
      </c>
      <c r="F1" s="45" t="s">
        <v>4</v>
      </c>
      <c r="G1" s="45" t="s">
        <v>5</v>
      </c>
      <c r="H1" s="45" t="s">
        <v>6</v>
      </c>
      <c r="I1" s="45" t="s">
        <v>7</v>
      </c>
      <c r="J1" s="45" t="s">
        <v>8</v>
      </c>
      <c r="K1" s="45" t="s">
        <v>9</v>
      </c>
    </row>
    <row r="2" spans="1:12" x14ac:dyDescent="0.3">
      <c r="A2" s="39">
        <v>41305</v>
      </c>
      <c r="B2" s="14">
        <f>C2+I2</f>
        <v>740062</v>
      </c>
      <c r="C2" s="14">
        <f>SUM(D2:H2)</f>
        <v>703030</v>
      </c>
      <c r="D2" s="13">
        <v>304100</v>
      </c>
      <c r="E2" s="13">
        <v>102964</v>
      </c>
      <c r="F2" s="13">
        <v>224592</v>
      </c>
      <c r="G2" s="13">
        <v>33606</v>
      </c>
      <c r="H2" s="13">
        <v>37768</v>
      </c>
      <c r="I2" s="15">
        <f>SUM(J2:K2)</f>
        <v>37032</v>
      </c>
      <c r="J2" s="13">
        <v>12560</v>
      </c>
      <c r="K2" s="13">
        <v>24472</v>
      </c>
      <c r="L2" s="1"/>
    </row>
    <row r="3" spans="1:12" x14ac:dyDescent="0.3">
      <c r="A3" s="39">
        <v>41333</v>
      </c>
      <c r="B3" s="14">
        <f t="shared" ref="B3:B13" si="0">C3+I3</f>
        <v>739611</v>
      </c>
      <c r="C3" s="14">
        <f t="shared" ref="C3:C13" si="1">SUM(D3:H3)</f>
        <v>701959</v>
      </c>
      <c r="D3" s="13">
        <v>302592</v>
      </c>
      <c r="E3" s="13">
        <v>102186</v>
      </c>
      <c r="F3" s="13">
        <v>225115</v>
      </c>
      <c r="G3" s="13">
        <v>34007</v>
      </c>
      <c r="H3" s="13">
        <v>38059</v>
      </c>
      <c r="I3" s="15">
        <f t="shared" ref="I3:I66" si="2">SUM(J3:K3)</f>
        <v>37652</v>
      </c>
      <c r="J3" s="13">
        <v>12676</v>
      </c>
      <c r="K3" s="13">
        <v>24976</v>
      </c>
      <c r="L3" s="1"/>
    </row>
    <row r="4" spans="1:12" x14ac:dyDescent="0.3">
      <c r="A4" s="39">
        <v>41364</v>
      </c>
      <c r="B4" s="14">
        <f t="shared" si="0"/>
        <v>734448</v>
      </c>
      <c r="C4" s="14">
        <f t="shared" si="1"/>
        <v>696897</v>
      </c>
      <c r="D4" s="13">
        <v>300142</v>
      </c>
      <c r="E4" s="13">
        <v>101687</v>
      </c>
      <c r="F4" s="13">
        <v>224836</v>
      </c>
      <c r="G4" s="13">
        <v>34084</v>
      </c>
      <c r="H4" s="13">
        <v>36148</v>
      </c>
      <c r="I4" s="15">
        <f t="shared" si="2"/>
        <v>37551</v>
      </c>
      <c r="J4" s="13">
        <v>12782</v>
      </c>
      <c r="K4" s="13">
        <v>24769</v>
      </c>
      <c r="L4" s="1"/>
    </row>
    <row r="5" spans="1:12" x14ac:dyDescent="0.3">
      <c r="A5" s="39">
        <v>41394</v>
      </c>
      <c r="B5" s="14">
        <f t="shared" si="0"/>
        <v>728512</v>
      </c>
      <c r="C5" s="14">
        <f t="shared" si="1"/>
        <v>691128</v>
      </c>
      <c r="D5" s="13">
        <v>299298</v>
      </c>
      <c r="E5" s="13">
        <v>102249</v>
      </c>
      <c r="F5" s="13">
        <v>221795</v>
      </c>
      <c r="G5" s="13">
        <v>33760</v>
      </c>
      <c r="H5" s="13">
        <v>34026</v>
      </c>
      <c r="I5" s="15">
        <f t="shared" si="2"/>
        <v>37384</v>
      </c>
      <c r="J5" s="13">
        <v>13029</v>
      </c>
      <c r="K5" s="13">
        <v>24355</v>
      </c>
      <c r="L5" s="1"/>
    </row>
    <row r="6" spans="1:12" x14ac:dyDescent="0.3">
      <c r="A6" s="39">
        <v>41425</v>
      </c>
      <c r="B6" s="14">
        <f t="shared" si="0"/>
        <v>703205</v>
      </c>
      <c r="C6" s="14">
        <f t="shared" si="1"/>
        <v>666445</v>
      </c>
      <c r="D6" s="13">
        <v>291614</v>
      </c>
      <c r="E6" s="13">
        <v>98365</v>
      </c>
      <c r="F6" s="13">
        <v>214800</v>
      </c>
      <c r="G6" s="13">
        <v>31531</v>
      </c>
      <c r="H6" s="13">
        <v>30135</v>
      </c>
      <c r="I6" s="15">
        <f t="shared" si="2"/>
        <v>36760</v>
      </c>
      <c r="J6" s="13">
        <v>12782</v>
      </c>
      <c r="K6" s="13">
        <v>23978</v>
      </c>
      <c r="L6" s="1"/>
    </row>
    <row r="7" spans="1:12" x14ac:dyDescent="0.3">
      <c r="A7" s="39">
        <v>41455</v>
      </c>
      <c r="B7" s="14">
        <f t="shared" si="0"/>
        <v>689933</v>
      </c>
      <c r="C7" s="14">
        <f t="shared" si="1"/>
        <v>653967</v>
      </c>
      <c r="D7" s="13">
        <v>287359</v>
      </c>
      <c r="E7" s="13">
        <v>96440</v>
      </c>
      <c r="F7" s="13">
        <v>211214</v>
      </c>
      <c r="G7" s="13">
        <v>31112</v>
      </c>
      <c r="H7" s="13">
        <v>27842</v>
      </c>
      <c r="I7" s="15">
        <f t="shared" si="2"/>
        <v>35966</v>
      </c>
      <c r="J7" s="13">
        <v>12621</v>
      </c>
      <c r="K7" s="13">
        <v>23345</v>
      </c>
      <c r="L7" s="1"/>
    </row>
    <row r="8" spans="1:12" x14ac:dyDescent="0.3">
      <c r="A8" s="39">
        <v>41486</v>
      </c>
      <c r="B8" s="14">
        <f t="shared" si="0"/>
        <v>688099</v>
      </c>
      <c r="C8" s="14">
        <f t="shared" si="1"/>
        <v>653601</v>
      </c>
      <c r="D8" s="13">
        <v>289905</v>
      </c>
      <c r="E8" s="13">
        <v>97024</v>
      </c>
      <c r="F8" s="13">
        <v>209075</v>
      </c>
      <c r="G8" s="13">
        <v>31669</v>
      </c>
      <c r="H8" s="13">
        <v>25928</v>
      </c>
      <c r="I8" s="15">
        <f t="shared" si="2"/>
        <v>34498</v>
      </c>
      <c r="J8" s="13">
        <v>11836</v>
      </c>
      <c r="K8" s="13">
        <v>22662</v>
      </c>
      <c r="L8" s="1"/>
    </row>
    <row r="9" spans="1:12" x14ac:dyDescent="0.3">
      <c r="A9" s="39">
        <v>41517</v>
      </c>
      <c r="B9" s="14">
        <f t="shared" si="0"/>
        <v>695065</v>
      </c>
      <c r="C9" s="14">
        <f t="shared" si="1"/>
        <v>660975</v>
      </c>
      <c r="D9" s="13">
        <v>297798</v>
      </c>
      <c r="E9" s="13">
        <v>97754</v>
      </c>
      <c r="F9" s="13">
        <v>208887</v>
      </c>
      <c r="G9" s="13">
        <v>31879</v>
      </c>
      <c r="H9" s="13">
        <v>24657</v>
      </c>
      <c r="I9" s="15">
        <f t="shared" si="2"/>
        <v>34090</v>
      </c>
      <c r="J9" s="13">
        <v>11640</v>
      </c>
      <c r="K9" s="13">
        <v>22450</v>
      </c>
      <c r="L9" s="1"/>
    </row>
    <row r="10" spans="1:12" x14ac:dyDescent="0.3">
      <c r="A10" s="39">
        <v>41547</v>
      </c>
      <c r="B10" s="14">
        <f t="shared" si="0"/>
        <v>697296</v>
      </c>
      <c r="C10" s="14">
        <f t="shared" si="1"/>
        <v>662812</v>
      </c>
      <c r="D10" s="13">
        <v>300595</v>
      </c>
      <c r="E10" s="13">
        <v>96967</v>
      </c>
      <c r="F10" s="13">
        <v>207602</v>
      </c>
      <c r="G10" s="13">
        <v>31393</v>
      </c>
      <c r="H10" s="13">
        <v>26255</v>
      </c>
      <c r="I10" s="15">
        <f t="shared" si="2"/>
        <v>34484</v>
      </c>
      <c r="J10" s="13">
        <v>11923</v>
      </c>
      <c r="K10" s="13">
        <v>22561</v>
      </c>
      <c r="L10" s="1"/>
    </row>
    <row r="11" spans="1:12" x14ac:dyDescent="0.3">
      <c r="A11" s="39">
        <v>41577</v>
      </c>
      <c r="B11" s="14">
        <f t="shared" si="0"/>
        <v>694904</v>
      </c>
      <c r="C11" s="14">
        <f t="shared" si="1"/>
        <v>659121</v>
      </c>
      <c r="D11" s="13">
        <v>297842</v>
      </c>
      <c r="E11" s="13">
        <v>95610</v>
      </c>
      <c r="F11" s="13">
        <v>205466</v>
      </c>
      <c r="G11" s="13">
        <v>31657</v>
      </c>
      <c r="H11" s="13">
        <v>28546</v>
      </c>
      <c r="I11" s="15">
        <f t="shared" si="2"/>
        <v>35783</v>
      </c>
      <c r="J11" s="13">
        <v>12935</v>
      </c>
      <c r="K11" s="13">
        <v>22848</v>
      </c>
      <c r="L11" s="1"/>
    </row>
    <row r="12" spans="1:12" x14ac:dyDescent="0.3">
      <c r="A12" s="39">
        <v>41608</v>
      </c>
      <c r="B12" s="14">
        <f t="shared" si="0"/>
        <v>692019</v>
      </c>
      <c r="C12" s="14">
        <f t="shared" si="1"/>
        <v>656093</v>
      </c>
      <c r="D12" s="13">
        <v>293374</v>
      </c>
      <c r="E12" s="13">
        <v>93702</v>
      </c>
      <c r="F12" s="13">
        <v>204681</v>
      </c>
      <c r="G12" s="13">
        <v>30770</v>
      </c>
      <c r="H12" s="13">
        <v>33566</v>
      </c>
      <c r="I12" s="15">
        <f t="shared" si="2"/>
        <v>35926</v>
      </c>
      <c r="J12" s="13">
        <v>13126</v>
      </c>
      <c r="K12" s="13">
        <v>22800</v>
      </c>
      <c r="L12" s="1"/>
    </row>
    <row r="13" spans="1:12" x14ac:dyDescent="0.3">
      <c r="A13" s="39">
        <v>41639</v>
      </c>
      <c r="B13" s="14">
        <f t="shared" si="0"/>
        <v>690535</v>
      </c>
      <c r="C13" s="14">
        <f t="shared" si="1"/>
        <v>654569</v>
      </c>
      <c r="D13" s="13">
        <v>291621</v>
      </c>
      <c r="E13" s="13">
        <v>95872</v>
      </c>
      <c r="F13" s="13">
        <v>204660</v>
      </c>
      <c r="G13" s="13">
        <v>29973</v>
      </c>
      <c r="H13" s="13">
        <v>32443</v>
      </c>
      <c r="I13" s="15">
        <f t="shared" si="2"/>
        <v>35966</v>
      </c>
      <c r="J13" s="13">
        <v>13208</v>
      </c>
      <c r="K13" s="13">
        <v>22758</v>
      </c>
      <c r="L13" s="1"/>
    </row>
    <row r="14" spans="1:12" x14ac:dyDescent="0.3">
      <c r="A14" s="39">
        <v>41670</v>
      </c>
      <c r="B14" s="14">
        <f t="shared" ref="B14:B77" si="3">C14+I14</f>
        <v>705327</v>
      </c>
      <c r="C14" s="14">
        <f t="shared" ref="C14:C77" si="4">SUM(D14:H14)</f>
        <v>669668</v>
      </c>
      <c r="D14" s="13">
        <v>296816</v>
      </c>
      <c r="E14" s="13">
        <v>98757</v>
      </c>
      <c r="F14" s="13">
        <v>209046</v>
      </c>
      <c r="G14" s="13">
        <v>31411</v>
      </c>
      <c r="H14" s="13">
        <v>33638</v>
      </c>
      <c r="I14" s="15">
        <f t="shared" si="2"/>
        <v>35659</v>
      </c>
      <c r="J14" s="13">
        <v>12823</v>
      </c>
      <c r="K14" s="13">
        <v>22836</v>
      </c>
      <c r="L14" s="1"/>
    </row>
    <row r="15" spans="1:12" x14ac:dyDescent="0.3">
      <c r="A15" s="39">
        <v>41698</v>
      </c>
      <c r="B15" s="14">
        <f t="shared" si="3"/>
        <v>700954</v>
      </c>
      <c r="C15" s="14">
        <f t="shared" si="4"/>
        <v>664713</v>
      </c>
      <c r="D15" s="13">
        <v>294590</v>
      </c>
      <c r="E15" s="13">
        <v>96579</v>
      </c>
      <c r="F15" s="13">
        <v>208475</v>
      </c>
      <c r="G15" s="13">
        <v>31645</v>
      </c>
      <c r="H15" s="13">
        <v>33424</v>
      </c>
      <c r="I15" s="15">
        <f t="shared" si="2"/>
        <v>36241</v>
      </c>
      <c r="J15" s="13">
        <v>13104</v>
      </c>
      <c r="K15" s="13">
        <v>23137</v>
      </c>
      <c r="L15" s="1"/>
    </row>
    <row r="16" spans="1:12" x14ac:dyDescent="0.3">
      <c r="A16" s="39">
        <v>41729</v>
      </c>
      <c r="B16" s="14">
        <f t="shared" si="3"/>
        <v>689825</v>
      </c>
      <c r="C16" s="14">
        <f t="shared" si="4"/>
        <v>653501</v>
      </c>
      <c r="D16" s="13">
        <v>290314</v>
      </c>
      <c r="E16" s="13">
        <v>94426</v>
      </c>
      <c r="F16" s="13">
        <v>206390</v>
      </c>
      <c r="G16" s="13">
        <v>30202</v>
      </c>
      <c r="H16" s="13">
        <v>32169</v>
      </c>
      <c r="I16" s="15">
        <f t="shared" si="2"/>
        <v>36324</v>
      </c>
      <c r="J16" s="13">
        <v>12877</v>
      </c>
      <c r="K16" s="13">
        <v>23447</v>
      </c>
      <c r="L16" s="1"/>
    </row>
    <row r="17" spans="1:12" x14ac:dyDescent="0.3">
      <c r="A17" s="39">
        <v>41759</v>
      </c>
      <c r="B17" s="14">
        <f t="shared" si="3"/>
        <v>668023</v>
      </c>
      <c r="C17" s="14">
        <f t="shared" si="4"/>
        <v>632098</v>
      </c>
      <c r="D17" s="13">
        <v>284715</v>
      </c>
      <c r="E17" s="13">
        <v>90241</v>
      </c>
      <c r="F17" s="13">
        <v>199573</v>
      </c>
      <c r="G17" s="13">
        <v>29192</v>
      </c>
      <c r="H17" s="13">
        <v>28377</v>
      </c>
      <c r="I17" s="15">
        <f t="shared" si="2"/>
        <v>35925</v>
      </c>
      <c r="J17" s="13">
        <v>12863</v>
      </c>
      <c r="K17" s="13">
        <v>23062</v>
      </c>
      <c r="L17" s="1"/>
    </row>
    <row r="18" spans="1:12" x14ac:dyDescent="0.3">
      <c r="A18" s="39">
        <v>41790</v>
      </c>
      <c r="B18" s="14">
        <f t="shared" si="3"/>
        <v>636410</v>
      </c>
      <c r="C18" s="14">
        <f t="shared" si="4"/>
        <v>601250</v>
      </c>
      <c r="D18" s="13">
        <v>271178</v>
      </c>
      <c r="E18" s="13">
        <v>85660</v>
      </c>
      <c r="F18" s="13">
        <v>192342</v>
      </c>
      <c r="G18" s="13">
        <v>27345</v>
      </c>
      <c r="H18" s="13">
        <v>24725</v>
      </c>
      <c r="I18" s="15">
        <f t="shared" si="2"/>
        <v>35160</v>
      </c>
      <c r="J18" s="13">
        <v>12758</v>
      </c>
      <c r="K18" s="13">
        <v>22402</v>
      </c>
      <c r="L18" s="1"/>
    </row>
    <row r="19" spans="1:12" x14ac:dyDescent="0.3">
      <c r="A19" s="39">
        <v>41820</v>
      </c>
      <c r="B19" s="14">
        <f t="shared" si="3"/>
        <v>614982</v>
      </c>
      <c r="C19" s="14">
        <f t="shared" si="4"/>
        <v>580679</v>
      </c>
      <c r="D19" s="13">
        <v>262373</v>
      </c>
      <c r="E19" s="13">
        <v>82425</v>
      </c>
      <c r="F19" s="13">
        <v>187209</v>
      </c>
      <c r="G19" s="13">
        <v>26589</v>
      </c>
      <c r="H19" s="13">
        <v>22083</v>
      </c>
      <c r="I19" s="15">
        <f t="shared" si="2"/>
        <v>34303</v>
      </c>
      <c r="J19" s="13">
        <v>12523</v>
      </c>
      <c r="K19" s="13">
        <v>21780</v>
      </c>
      <c r="L19" s="1"/>
    </row>
    <row r="20" spans="1:12" x14ac:dyDescent="0.3">
      <c r="A20" s="39">
        <v>41851</v>
      </c>
      <c r="B20" s="14">
        <f t="shared" si="3"/>
        <v>611696</v>
      </c>
      <c r="C20" s="14">
        <f t="shared" si="4"/>
        <v>578506</v>
      </c>
      <c r="D20" s="13">
        <v>262168</v>
      </c>
      <c r="E20" s="13">
        <v>82846</v>
      </c>
      <c r="F20" s="13">
        <v>186492</v>
      </c>
      <c r="G20" s="13">
        <v>26855</v>
      </c>
      <c r="H20" s="13">
        <v>20145</v>
      </c>
      <c r="I20" s="15">
        <f t="shared" si="2"/>
        <v>33190</v>
      </c>
      <c r="J20" s="13">
        <v>11753</v>
      </c>
      <c r="K20" s="13">
        <v>21437</v>
      </c>
      <c r="L20" s="1"/>
    </row>
    <row r="21" spans="1:12" x14ac:dyDescent="0.3">
      <c r="A21" s="39">
        <v>41882</v>
      </c>
      <c r="B21" s="14">
        <f t="shared" si="3"/>
        <v>624230</v>
      </c>
      <c r="C21" s="14">
        <f t="shared" si="4"/>
        <v>590820</v>
      </c>
      <c r="D21" s="13">
        <v>269330</v>
      </c>
      <c r="E21" s="13">
        <v>85782</v>
      </c>
      <c r="F21" s="13">
        <v>188328</v>
      </c>
      <c r="G21" s="13">
        <v>27529</v>
      </c>
      <c r="H21" s="13">
        <v>19851</v>
      </c>
      <c r="I21" s="15">
        <f t="shared" si="2"/>
        <v>33410</v>
      </c>
      <c r="J21" s="13">
        <v>11584</v>
      </c>
      <c r="K21" s="13">
        <v>21826</v>
      </c>
      <c r="L21" s="1"/>
    </row>
    <row r="22" spans="1:12" x14ac:dyDescent="0.3">
      <c r="A22" s="39">
        <v>41912</v>
      </c>
      <c r="B22" s="14">
        <f t="shared" si="3"/>
        <v>616622</v>
      </c>
      <c r="C22" s="14">
        <f t="shared" si="4"/>
        <v>582840</v>
      </c>
      <c r="D22" s="13">
        <v>264509</v>
      </c>
      <c r="E22" s="13">
        <v>84521</v>
      </c>
      <c r="F22" s="13">
        <v>184949</v>
      </c>
      <c r="G22" s="13">
        <v>28069</v>
      </c>
      <c r="H22" s="13">
        <v>20792</v>
      </c>
      <c r="I22" s="15">
        <f t="shared" si="2"/>
        <v>33782</v>
      </c>
      <c r="J22" s="13">
        <v>11563</v>
      </c>
      <c r="K22" s="13">
        <v>22219</v>
      </c>
      <c r="L22" s="1"/>
    </row>
    <row r="23" spans="1:12" x14ac:dyDescent="0.3">
      <c r="A23" s="39">
        <v>41942</v>
      </c>
      <c r="B23" s="14">
        <f t="shared" si="3"/>
        <v>605516</v>
      </c>
      <c r="C23" s="14">
        <f t="shared" si="4"/>
        <v>572012</v>
      </c>
      <c r="D23" s="13">
        <v>258490</v>
      </c>
      <c r="E23" s="13">
        <v>82156</v>
      </c>
      <c r="F23" s="13">
        <v>181012</v>
      </c>
      <c r="G23" s="13">
        <v>27490</v>
      </c>
      <c r="H23" s="13">
        <v>22864</v>
      </c>
      <c r="I23" s="15">
        <f t="shared" si="2"/>
        <v>33504</v>
      </c>
      <c r="J23" s="13">
        <v>11552</v>
      </c>
      <c r="K23" s="13">
        <v>21952</v>
      </c>
      <c r="L23" s="1"/>
    </row>
    <row r="24" spans="1:12" x14ac:dyDescent="0.3">
      <c r="A24" s="39">
        <v>41973</v>
      </c>
      <c r="B24" s="14">
        <f t="shared" si="3"/>
        <v>598083</v>
      </c>
      <c r="C24" s="14">
        <f t="shared" si="4"/>
        <v>564394</v>
      </c>
      <c r="D24" s="13">
        <v>253207</v>
      </c>
      <c r="E24" s="13">
        <v>80380</v>
      </c>
      <c r="F24" s="13">
        <v>176596</v>
      </c>
      <c r="G24" s="13">
        <v>26348</v>
      </c>
      <c r="H24" s="13">
        <v>27863</v>
      </c>
      <c r="I24" s="15">
        <f t="shared" si="2"/>
        <v>33689</v>
      </c>
      <c r="J24" s="13">
        <v>11521</v>
      </c>
      <c r="K24" s="13">
        <v>22168</v>
      </c>
      <c r="L24" s="1"/>
    </row>
    <row r="25" spans="1:12" x14ac:dyDescent="0.3">
      <c r="A25" s="39">
        <v>42004</v>
      </c>
      <c r="B25" s="14">
        <f t="shared" si="3"/>
        <v>598581</v>
      </c>
      <c r="C25" s="14">
        <f t="shared" si="4"/>
        <v>564312</v>
      </c>
      <c r="D25" s="13">
        <v>253480</v>
      </c>
      <c r="E25" s="13">
        <v>83527</v>
      </c>
      <c r="F25" s="13">
        <v>173949</v>
      </c>
      <c r="G25" s="13">
        <v>26326</v>
      </c>
      <c r="H25" s="13">
        <v>27030</v>
      </c>
      <c r="I25" s="15">
        <f t="shared" si="2"/>
        <v>34269</v>
      </c>
      <c r="J25" s="13">
        <v>11666</v>
      </c>
      <c r="K25" s="13">
        <v>22603</v>
      </c>
      <c r="L25" s="1"/>
    </row>
    <row r="26" spans="1:12" x14ac:dyDescent="0.3">
      <c r="A26" s="39">
        <v>42035</v>
      </c>
      <c r="B26" s="14">
        <f t="shared" si="3"/>
        <v>615654</v>
      </c>
      <c r="C26" s="14">
        <f t="shared" si="4"/>
        <v>580961</v>
      </c>
      <c r="D26" s="13">
        <v>258153</v>
      </c>
      <c r="E26" s="13">
        <v>84332</v>
      </c>
      <c r="F26" s="13">
        <v>181984</v>
      </c>
      <c r="G26" s="13">
        <v>27270</v>
      </c>
      <c r="H26" s="13">
        <v>29222</v>
      </c>
      <c r="I26" s="15">
        <f t="shared" si="2"/>
        <v>34693</v>
      </c>
      <c r="J26" s="13">
        <v>11617</v>
      </c>
      <c r="K26" s="13">
        <v>23076</v>
      </c>
      <c r="L26" s="1"/>
    </row>
    <row r="27" spans="1:12" x14ac:dyDescent="0.3">
      <c r="A27" s="39">
        <v>42063</v>
      </c>
      <c r="B27" s="14">
        <f t="shared" si="3"/>
        <v>604314</v>
      </c>
      <c r="C27" s="14">
        <f t="shared" si="4"/>
        <v>569857</v>
      </c>
      <c r="D27" s="13">
        <v>252382</v>
      </c>
      <c r="E27" s="13">
        <v>81377</v>
      </c>
      <c r="F27" s="13">
        <v>180167</v>
      </c>
      <c r="G27" s="13">
        <v>27445</v>
      </c>
      <c r="H27" s="13">
        <v>28486</v>
      </c>
      <c r="I27" s="15">
        <f t="shared" si="2"/>
        <v>34457</v>
      </c>
      <c r="J27" s="13">
        <v>11585</v>
      </c>
      <c r="K27" s="13">
        <v>22872</v>
      </c>
      <c r="L27" s="1"/>
    </row>
    <row r="28" spans="1:12" x14ac:dyDescent="0.3">
      <c r="A28" s="39">
        <v>42094</v>
      </c>
      <c r="B28" s="14">
        <f t="shared" si="3"/>
        <v>590605</v>
      </c>
      <c r="C28" s="14">
        <f t="shared" si="4"/>
        <v>556576</v>
      </c>
      <c r="D28" s="13">
        <v>245181</v>
      </c>
      <c r="E28" s="13">
        <v>79910</v>
      </c>
      <c r="F28" s="13">
        <v>177233</v>
      </c>
      <c r="G28" s="13">
        <v>27362</v>
      </c>
      <c r="H28" s="13">
        <v>26890</v>
      </c>
      <c r="I28" s="15">
        <f t="shared" si="2"/>
        <v>34029</v>
      </c>
      <c r="J28" s="13">
        <v>11495</v>
      </c>
      <c r="K28" s="13">
        <v>22534</v>
      </c>
      <c r="L28" s="1"/>
    </row>
    <row r="29" spans="1:12" x14ac:dyDescent="0.3">
      <c r="A29" s="39">
        <v>42124</v>
      </c>
      <c r="B29" s="14">
        <f t="shared" si="3"/>
        <v>573382</v>
      </c>
      <c r="C29" s="14">
        <f t="shared" si="4"/>
        <v>539323</v>
      </c>
      <c r="D29" s="13">
        <v>239749</v>
      </c>
      <c r="E29" s="13">
        <v>77174</v>
      </c>
      <c r="F29" s="13">
        <v>172772</v>
      </c>
      <c r="G29" s="13">
        <v>26154</v>
      </c>
      <c r="H29" s="13">
        <v>23474</v>
      </c>
      <c r="I29" s="15">
        <f t="shared" si="2"/>
        <v>34059</v>
      </c>
      <c r="J29" s="13">
        <v>11459</v>
      </c>
      <c r="K29" s="13">
        <v>22600</v>
      </c>
      <c r="L29" s="1"/>
    </row>
    <row r="30" spans="1:12" x14ac:dyDescent="0.3">
      <c r="A30" s="39">
        <v>42155</v>
      </c>
      <c r="B30" s="14">
        <f t="shared" si="3"/>
        <v>554070</v>
      </c>
      <c r="C30" s="14">
        <f t="shared" si="4"/>
        <v>520444</v>
      </c>
      <c r="D30" s="13">
        <v>233205</v>
      </c>
      <c r="E30" s="13">
        <v>74119</v>
      </c>
      <c r="F30" s="13">
        <v>167969</v>
      </c>
      <c r="G30" s="13">
        <v>24783</v>
      </c>
      <c r="H30" s="13">
        <v>20368</v>
      </c>
      <c r="I30" s="15">
        <f t="shared" si="2"/>
        <v>33626</v>
      </c>
      <c r="J30" s="13">
        <v>11360</v>
      </c>
      <c r="K30" s="13">
        <v>22266</v>
      </c>
      <c r="L30" s="1"/>
    </row>
    <row r="31" spans="1:12" x14ac:dyDescent="0.3">
      <c r="A31" s="39">
        <v>42185</v>
      </c>
      <c r="B31" s="14">
        <f t="shared" si="3"/>
        <v>536656</v>
      </c>
      <c r="C31" s="14">
        <f t="shared" si="4"/>
        <v>503481</v>
      </c>
      <c r="D31" s="13">
        <v>229702</v>
      </c>
      <c r="E31" s="13">
        <v>71973</v>
      </c>
      <c r="F31" s="13">
        <v>160125</v>
      </c>
      <c r="G31" s="13">
        <v>23829</v>
      </c>
      <c r="H31" s="13">
        <v>17852</v>
      </c>
      <c r="I31" s="15">
        <f t="shared" si="2"/>
        <v>33175</v>
      </c>
      <c r="J31" s="13">
        <v>11231</v>
      </c>
      <c r="K31" s="13">
        <v>21944</v>
      </c>
      <c r="L31" s="1"/>
    </row>
    <row r="32" spans="1:12" x14ac:dyDescent="0.3">
      <c r="A32" s="39">
        <v>42216</v>
      </c>
      <c r="B32" s="14">
        <f t="shared" si="3"/>
        <v>532698</v>
      </c>
      <c r="C32" s="14">
        <f t="shared" si="4"/>
        <v>500176</v>
      </c>
      <c r="D32" s="13">
        <v>230567</v>
      </c>
      <c r="E32" s="13">
        <v>71252</v>
      </c>
      <c r="F32" s="13">
        <v>157720</v>
      </c>
      <c r="G32" s="13">
        <v>24268</v>
      </c>
      <c r="H32" s="13">
        <v>16369</v>
      </c>
      <c r="I32" s="15">
        <f t="shared" si="2"/>
        <v>32522</v>
      </c>
      <c r="J32" s="13">
        <v>10940</v>
      </c>
      <c r="K32" s="13">
        <v>21582</v>
      </c>
      <c r="L32" s="1"/>
    </row>
    <row r="33" spans="1:12" x14ac:dyDescent="0.3">
      <c r="A33" s="39">
        <v>42247</v>
      </c>
      <c r="B33" s="14">
        <f t="shared" si="3"/>
        <v>536581</v>
      </c>
      <c r="C33" s="14">
        <f t="shared" si="4"/>
        <v>503961</v>
      </c>
      <c r="D33" s="13">
        <v>235743</v>
      </c>
      <c r="E33" s="13">
        <v>72365</v>
      </c>
      <c r="F33" s="13">
        <v>155977</v>
      </c>
      <c r="G33" s="13">
        <v>24115</v>
      </c>
      <c r="H33" s="13">
        <v>15761</v>
      </c>
      <c r="I33" s="15">
        <f t="shared" si="2"/>
        <v>32620</v>
      </c>
      <c r="J33" s="13">
        <v>10906</v>
      </c>
      <c r="K33" s="13">
        <v>21714</v>
      </c>
      <c r="L33" s="1"/>
    </row>
    <row r="34" spans="1:12" x14ac:dyDescent="0.3">
      <c r="A34" s="39">
        <v>42277</v>
      </c>
      <c r="B34" s="14">
        <f t="shared" si="3"/>
        <v>538713</v>
      </c>
      <c r="C34" s="14">
        <f t="shared" si="4"/>
        <v>506162</v>
      </c>
      <c r="D34" s="13">
        <v>232848</v>
      </c>
      <c r="E34" s="13">
        <v>72465</v>
      </c>
      <c r="F34" s="13">
        <v>159096</v>
      </c>
      <c r="G34" s="13">
        <v>24787</v>
      </c>
      <c r="H34" s="13">
        <v>16966</v>
      </c>
      <c r="I34" s="15">
        <f t="shared" si="2"/>
        <v>32551</v>
      </c>
      <c r="J34" s="13">
        <v>10878</v>
      </c>
      <c r="K34" s="13">
        <v>21673</v>
      </c>
      <c r="L34" s="1"/>
    </row>
    <row r="35" spans="1:12" x14ac:dyDescent="0.3">
      <c r="A35" s="39">
        <v>42307</v>
      </c>
      <c r="B35" s="14">
        <f t="shared" si="3"/>
        <v>542030</v>
      </c>
      <c r="C35" s="14">
        <f t="shared" si="4"/>
        <v>508850</v>
      </c>
      <c r="D35" s="13">
        <v>230249</v>
      </c>
      <c r="E35" s="13">
        <v>72986</v>
      </c>
      <c r="F35" s="13">
        <v>160795</v>
      </c>
      <c r="G35" s="13">
        <v>25003</v>
      </c>
      <c r="H35" s="13">
        <v>19817</v>
      </c>
      <c r="I35" s="15">
        <f t="shared" si="2"/>
        <v>33180</v>
      </c>
      <c r="J35" s="13">
        <v>10854</v>
      </c>
      <c r="K35" s="13">
        <v>22326</v>
      </c>
      <c r="L35" s="1"/>
    </row>
    <row r="36" spans="1:12" x14ac:dyDescent="0.3">
      <c r="A36" s="39">
        <v>42338</v>
      </c>
      <c r="B36" s="14">
        <f t="shared" si="3"/>
        <v>550912</v>
      </c>
      <c r="C36" s="14">
        <f t="shared" si="4"/>
        <v>516643</v>
      </c>
      <c r="D36" s="13">
        <v>230399</v>
      </c>
      <c r="E36" s="13">
        <v>74438</v>
      </c>
      <c r="F36" s="13">
        <v>160525</v>
      </c>
      <c r="G36" s="13">
        <v>25267</v>
      </c>
      <c r="H36" s="13">
        <v>26014</v>
      </c>
      <c r="I36" s="15">
        <f t="shared" si="2"/>
        <v>34269</v>
      </c>
      <c r="J36" s="13">
        <v>11666</v>
      </c>
      <c r="K36" s="13">
        <v>22603</v>
      </c>
      <c r="L36" s="1"/>
    </row>
    <row r="37" spans="1:12" x14ac:dyDescent="0.3">
      <c r="A37" s="39">
        <v>42369</v>
      </c>
      <c r="B37" s="14">
        <f t="shared" si="3"/>
        <v>555880</v>
      </c>
      <c r="C37" s="14">
        <f t="shared" si="4"/>
        <v>521611</v>
      </c>
      <c r="D37" s="13">
        <v>231005</v>
      </c>
      <c r="E37" s="13">
        <v>75955</v>
      </c>
      <c r="F37" s="13">
        <v>163213</v>
      </c>
      <c r="G37" s="13">
        <v>25232</v>
      </c>
      <c r="H37" s="13">
        <v>26206</v>
      </c>
      <c r="I37" s="15">
        <f t="shared" si="2"/>
        <v>34269</v>
      </c>
      <c r="J37" s="13">
        <v>11666</v>
      </c>
      <c r="K37" s="13">
        <v>22603</v>
      </c>
      <c r="L37" s="1"/>
    </row>
    <row r="38" spans="1:12" x14ac:dyDescent="0.3">
      <c r="A38" s="39">
        <v>42400</v>
      </c>
      <c r="B38" s="14">
        <f t="shared" si="3"/>
        <v>570380</v>
      </c>
      <c r="C38" s="14">
        <f t="shared" si="4"/>
        <v>536750</v>
      </c>
      <c r="D38" s="16">
        <v>235032</v>
      </c>
      <c r="E38" s="16">
        <v>78594</v>
      </c>
      <c r="F38" s="16">
        <v>169202</v>
      </c>
      <c r="G38" s="16">
        <v>26530</v>
      </c>
      <c r="H38" s="16">
        <v>27392</v>
      </c>
      <c r="I38" s="15">
        <f t="shared" si="2"/>
        <v>33630</v>
      </c>
      <c r="J38" s="16">
        <v>10753</v>
      </c>
      <c r="K38" s="16">
        <v>22877</v>
      </c>
      <c r="L38" s="1"/>
    </row>
    <row r="39" spans="1:12" x14ac:dyDescent="0.3">
      <c r="A39" s="39">
        <v>42428</v>
      </c>
      <c r="B39" s="14">
        <f t="shared" si="3"/>
        <v>575999</v>
      </c>
      <c r="C39" s="14">
        <f t="shared" si="4"/>
        <v>542077</v>
      </c>
      <c r="D39" s="16">
        <v>235746</v>
      </c>
      <c r="E39" s="16">
        <v>78680</v>
      </c>
      <c r="F39" s="16">
        <v>173335</v>
      </c>
      <c r="G39" s="16">
        <v>27276</v>
      </c>
      <c r="H39" s="16">
        <v>27040</v>
      </c>
      <c r="I39" s="15">
        <f t="shared" si="2"/>
        <v>33922</v>
      </c>
      <c r="J39" s="16">
        <v>10712</v>
      </c>
      <c r="K39" s="16">
        <v>23210</v>
      </c>
      <c r="L39" s="1"/>
    </row>
    <row r="40" spans="1:12" x14ac:dyDescent="0.3">
      <c r="A40" s="39">
        <v>42460</v>
      </c>
      <c r="B40" s="14">
        <f t="shared" si="3"/>
        <v>575075</v>
      </c>
      <c r="C40" s="14">
        <f t="shared" si="4"/>
        <v>541570</v>
      </c>
      <c r="D40" s="16">
        <v>236307</v>
      </c>
      <c r="E40" s="16">
        <v>77806</v>
      </c>
      <c r="F40" s="16">
        <v>174837</v>
      </c>
      <c r="G40" s="16">
        <v>28440</v>
      </c>
      <c r="H40" s="16">
        <v>24180</v>
      </c>
      <c r="I40" s="15">
        <f t="shared" si="2"/>
        <v>33505</v>
      </c>
      <c r="J40" s="16">
        <v>10652</v>
      </c>
      <c r="K40" s="16">
        <v>22853</v>
      </c>
      <c r="L40" s="1"/>
    </row>
    <row r="41" spans="1:12" x14ac:dyDescent="0.3">
      <c r="A41" s="39">
        <v>42490</v>
      </c>
      <c r="B41" s="14">
        <f t="shared" si="3"/>
        <v>562934</v>
      </c>
      <c r="C41" s="14">
        <f t="shared" si="4"/>
        <v>529966</v>
      </c>
      <c r="D41" s="16">
        <v>233787</v>
      </c>
      <c r="E41" s="16">
        <v>75582</v>
      </c>
      <c r="F41" s="16">
        <v>171799</v>
      </c>
      <c r="G41" s="16">
        <v>27771</v>
      </c>
      <c r="H41" s="16">
        <v>21027</v>
      </c>
      <c r="I41" s="15">
        <f t="shared" si="2"/>
        <v>32968</v>
      </c>
      <c r="J41" s="16">
        <v>10629</v>
      </c>
      <c r="K41" s="16">
        <v>22339</v>
      </c>
      <c r="L41" s="1"/>
    </row>
    <row r="42" spans="1:12" x14ac:dyDescent="0.3">
      <c r="A42" s="39">
        <v>42521</v>
      </c>
      <c r="B42" s="14">
        <f t="shared" si="3"/>
        <v>534958</v>
      </c>
      <c r="C42" s="14">
        <f t="shared" si="4"/>
        <v>502764</v>
      </c>
      <c r="D42" s="16">
        <v>224482</v>
      </c>
      <c r="E42" s="16">
        <v>70445</v>
      </c>
      <c r="F42" s="16">
        <v>164220</v>
      </c>
      <c r="G42" s="16">
        <v>26400</v>
      </c>
      <c r="H42" s="16">
        <v>17217</v>
      </c>
      <c r="I42" s="15">
        <f t="shared" si="2"/>
        <v>32194</v>
      </c>
      <c r="J42" s="16">
        <v>10536</v>
      </c>
      <c r="K42" s="16">
        <v>21658</v>
      </c>
      <c r="L42" s="1"/>
    </row>
    <row r="43" spans="1:12" x14ac:dyDescent="0.3">
      <c r="A43" s="39">
        <v>42551</v>
      </c>
      <c r="B43" s="14">
        <f t="shared" si="3"/>
        <v>511642</v>
      </c>
      <c r="C43" s="14">
        <f t="shared" si="4"/>
        <v>480091</v>
      </c>
      <c r="D43" s="16">
        <v>216223</v>
      </c>
      <c r="E43" s="16">
        <v>67640</v>
      </c>
      <c r="F43" s="16">
        <v>157104</v>
      </c>
      <c r="G43" s="16">
        <v>24429</v>
      </c>
      <c r="H43" s="16">
        <v>14695</v>
      </c>
      <c r="I43" s="15">
        <f t="shared" si="2"/>
        <v>31551</v>
      </c>
      <c r="J43" s="16">
        <v>10472</v>
      </c>
      <c r="K43" s="16">
        <v>21079</v>
      </c>
      <c r="L43" s="1"/>
    </row>
    <row r="44" spans="1:12" x14ac:dyDescent="0.3">
      <c r="A44" s="39">
        <v>42582</v>
      </c>
      <c r="B44" s="14">
        <f t="shared" si="3"/>
        <v>497663</v>
      </c>
      <c r="C44" s="14">
        <f t="shared" si="4"/>
        <v>466741</v>
      </c>
      <c r="D44" s="16">
        <v>211468</v>
      </c>
      <c r="E44" s="16">
        <v>66027</v>
      </c>
      <c r="F44" s="16">
        <v>153029</v>
      </c>
      <c r="G44" s="16">
        <v>22990</v>
      </c>
      <c r="H44" s="16">
        <v>13227</v>
      </c>
      <c r="I44" s="15">
        <f t="shared" si="2"/>
        <v>30922</v>
      </c>
      <c r="J44" s="16">
        <v>10123</v>
      </c>
      <c r="K44" s="16">
        <v>20799</v>
      </c>
      <c r="L44" s="1"/>
    </row>
    <row r="45" spans="1:12" x14ac:dyDescent="0.3">
      <c r="A45" s="39">
        <v>42613</v>
      </c>
      <c r="B45" s="14">
        <f t="shared" si="3"/>
        <v>498763</v>
      </c>
      <c r="C45" s="14">
        <f t="shared" si="4"/>
        <v>468282</v>
      </c>
      <c r="D45" s="16">
        <v>213232</v>
      </c>
      <c r="E45" s="16">
        <v>66465</v>
      </c>
      <c r="F45" s="16">
        <v>152216</v>
      </c>
      <c r="G45" s="16">
        <v>23367</v>
      </c>
      <c r="H45" s="16">
        <v>13002</v>
      </c>
      <c r="I45" s="15">
        <f t="shared" si="2"/>
        <v>30481</v>
      </c>
      <c r="J45" s="16">
        <v>9711</v>
      </c>
      <c r="K45" s="16">
        <v>20770</v>
      </c>
      <c r="L45" s="1"/>
    </row>
    <row r="46" spans="1:12" x14ac:dyDescent="0.3">
      <c r="A46" s="39">
        <v>42643</v>
      </c>
      <c r="B46" s="14">
        <f t="shared" si="3"/>
        <v>491107</v>
      </c>
      <c r="C46" s="14">
        <f t="shared" si="4"/>
        <v>461037</v>
      </c>
      <c r="D46" s="16">
        <v>210598</v>
      </c>
      <c r="E46" s="16">
        <v>65760</v>
      </c>
      <c r="F46" s="16">
        <v>147545</v>
      </c>
      <c r="G46" s="16">
        <v>23290</v>
      </c>
      <c r="H46" s="16">
        <v>13844</v>
      </c>
      <c r="I46" s="15">
        <f t="shared" si="2"/>
        <v>30070</v>
      </c>
      <c r="J46" s="16">
        <v>9679</v>
      </c>
      <c r="K46" s="16">
        <v>20391</v>
      </c>
      <c r="L46" s="1"/>
    </row>
    <row r="47" spans="1:12" x14ac:dyDescent="0.3">
      <c r="A47" s="39">
        <v>42673</v>
      </c>
      <c r="B47" s="14">
        <f t="shared" si="3"/>
        <v>490589</v>
      </c>
      <c r="C47" s="14">
        <f t="shared" si="4"/>
        <v>460548</v>
      </c>
      <c r="D47" s="16">
        <v>209834</v>
      </c>
      <c r="E47" s="16">
        <v>63938</v>
      </c>
      <c r="F47" s="16">
        <v>146967</v>
      </c>
      <c r="G47" s="16">
        <v>23479</v>
      </c>
      <c r="H47" s="16">
        <v>16330</v>
      </c>
      <c r="I47" s="15">
        <f t="shared" si="2"/>
        <v>30041</v>
      </c>
      <c r="J47" s="16">
        <v>9655</v>
      </c>
      <c r="K47" s="16">
        <v>20386</v>
      </c>
      <c r="L47" s="1"/>
    </row>
    <row r="48" spans="1:12" x14ac:dyDescent="0.3">
      <c r="A48" s="39">
        <v>42704</v>
      </c>
      <c r="B48" s="14">
        <f t="shared" si="3"/>
        <v>486434</v>
      </c>
      <c r="C48" s="14">
        <f t="shared" si="4"/>
        <v>456449</v>
      </c>
      <c r="D48" s="16">
        <v>204855</v>
      </c>
      <c r="E48" s="16">
        <v>62224</v>
      </c>
      <c r="F48" s="16">
        <v>143356</v>
      </c>
      <c r="G48" s="16">
        <v>23105</v>
      </c>
      <c r="H48" s="16">
        <v>22909</v>
      </c>
      <c r="I48" s="15">
        <f t="shared" si="2"/>
        <v>29985</v>
      </c>
      <c r="J48" s="16">
        <v>9621</v>
      </c>
      <c r="K48" s="16">
        <v>20364</v>
      </c>
      <c r="L48" s="1"/>
    </row>
    <row r="49" spans="1:12" x14ac:dyDescent="0.3">
      <c r="A49" s="39">
        <v>42735</v>
      </c>
      <c r="B49" s="14">
        <f t="shared" si="3"/>
        <v>482556</v>
      </c>
      <c r="C49" s="14">
        <f t="shared" si="4"/>
        <v>452652</v>
      </c>
      <c r="D49" s="16">
        <v>200792</v>
      </c>
      <c r="E49" s="16">
        <v>63305</v>
      </c>
      <c r="F49" s="16">
        <v>141097</v>
      </c>
      <c r="G49" s="16">
        <v>22983</v>
      </c>
      <c r="H49" s="16">
        <v>24475</v>
      </c>
      <c r="I49" s="15">
        <f t="shared" si="2"/>
        <v>29904</v>
      </c>
      <c r="J49" s="16">
        <v>9611</v>
      </c>
      <c r="K49" s="16">
        <v>20293</v>
      </c>
      <c r="L49" s="1"/>
    </row>
    <row r="50" spans="1:12" x14ac:dyDescent="0.3">
      <c r="A50" s="39">
        <v>42766</v>
      </c>
      <c r="B50" s="14">
        <f t="shared" si="3"/>
        <v>494730</v>
      </c>
      <c r="C50" s="14">
        <f t="shared" si="4"/>
        <v>464821</v>
      </c>
      <c r="D50" s="17">
        <v>204270</v>
      </c>
      <c r="E50" s="17">
        <v>65109</v>
      </c>
      <c r="F50" s="17">
        <v>146666</v>
      </c>
      <c r="G50" s="17">
        <v>23449</v>
      </c>
      <c r="H50" s="17">
        <v>25327</v>
      </c>
      <c r="I50" s="15">
        <f t="shared" si="2"/>
        <v>29909</v>
      </c>
      <c r="J50" s="17">
        <v>9613</v>
      </c>
      <c r="K50" s="17">
        <v>20296</v>
      </c>
      <c r="L50" s="1"/>
    </row>
    <row r="51" spans="1:12" x14ac:dyDescent="0.3">
      <c r="A51" s="39">
        <v>42794</v>
      </c>
      <c r="B51" s="14">
        <f t="shared" si="3"/>
        <v>487629</v>
      </c>
      <c r="C51" s="14">
        <f t="shared" si="4"/>
        <v>457920</v>
      </c>
      <c r="D51" s="17">
        <v>201561</v>
      </c>
      <c r="E51" s="17">
        <v>63486</v>
      </c>
      <c r="F51" s="17">
        <v>147092</v>
      </c>
      <c r="G51" s="17">
        <v>22489</v>
      </c>
      <c r="H51" s="17">
        <v>23292</v>
      </c>
      <c r="I51" s="15">
        <f t="shared" si="2"/>
        <v>29709</v>
      </c>
      <c r="J51" s="17">
        <v>9611</v>
      </c>
      <c r="K51" s="17">
        <v>20098</v>
      </c>
      <c r="L51" s="1"/>
    </row>
    <row r="52" spans="1:12" x14ac:dyDescent="0.3">
      <c r="A52" s="39">
        <v>42825</v>
      </c>
      <c r="B52" s="14">
        <f t="shared" si="3"/>
        <v>471474</v>
      </c>
      <c r="C52" s="14">
        <f t="shared" si="4"/>
        <v>441911</v>
      </c>
      <c r="D52" s="17">
        <v>196144</v>
      </c>
      <c r="E52" s="17">
        <v>61283</v>
      </c>
      <c r="F52" s="17">
        <v>142763</v>
      </c>
      <c r="G52" s="17">
        <v>22393</v>
      </c>
      <c r="H52" s="17">
        <v>19328</v>
      </c>
      <c r="I52" s="15">
        <f t="shared" si="2"/>
        <v>29563</v>
      </c>
      <c r="J52" s="17">
        <v>9592</v>
      </c>
      <c r="K52" s="17">
        <v>19971</v>
      </c>
      <c r="L52" s="1"/>
    </row>
    <row r="53" spans="1:12" x14ac:dyDescent="0.3">
      <c r="A53" s="39">
        <v>42855</v>
      </c>
      <c r="B53" s="14">
        <f t="shared" si="3"/>
        <v>450961</v>
      </c>
      <c r="C53" s="14">
        <f t="shared" si="4"/>
        <v>422249</v>
      </c>
      <c r="D53" s="17">
        <v>188127</v>
      </c>
      <c r="E53" s="17">
        <v>58807</v>
      </c>
      <c r="F53" s="17">
        <v>138497</v>
      </c>
      <c r="G53" s="17">
        <v>21666</v>
      </c>
      <c r="H53" s="17">
        <v>15152</v>
      </c>
      <c r="I53" s="15">
        <f t="shared" si="2"/>
        <v>28712</v>
      </c>
      <c r="J53" s="17">
        <v>9588</v>
      </c>
      <c r="K53" s="17">
        <v>19124</v>
      </c>
      <c r="L53" s="1"/>
    </row>
    <row r="54" spans="1:12" x14ac:dyDescent="0.3">
      <c r="A54" s="39">
        <v>42886</v>
      </c>
      <c r="B54" s="14">
        <f t="shared" si="3"/>
        <v>432274</v>
      </c>
      <c r="C54" s="14">
        <f t="shared" si="4"/>
        <v>404470</v>
      </c>
      <c r="D54" s="17">
        <v>181396</v>
      </c>
      <c r="E54" s="17">
        <v>57000</v>
      </c>
      <c r="F54" s="17">
        <v>133891</v>
      </c>
      <c r="G54" s="17">
        <v>20264</v>
      </c>
      <c r="H54" s="17">
        <v>11919</v>
      </c>
      <c r="I54" s="15">
        <f t="shared" si="2"/>
        <v>27804</v>
      </c>
      <c r="J54" s="17">
        <v>9503</v>
      </c>
      <c r="K54" s="17">
        <v>18301</v>
      </c>
      <c r="L54" s="1"/>
    </row>
    <row r="55" spans="1:12" x14ac:dyDescent="0.3">
      <c r="A55" s="39">
        <v>42916</v>
      </c>
      <c r="B55" s="14">
        <f t="shared" si="3"/>
        <v>418189</v>
      </c>
      <c r="C55" s="14">
        <f t="shared" si="4"/>
        <v>391541</v>
      </c>
      <c r="D55" s="17">
        <v>176798</v>
      </c>
      <c r="E55" s="17">
        <v>55556</v>
      </c>
      <c r="F55" s="17">
        <v>129477</v>
      </c>
      <c r="G55" s="17">
        <v>19359</v>
      </c>
      <c r="H55" s="17">
        <v>10351</v>
      </c>
      <c r="I55" s="15">
        <f t="shared" si="2"/>
        <v>26648</v>
      </c>
      <c r="J55" s="17">
        <v>8967</v>
      </c>
      <c r="K55" s="17">
        <v>17681</v>
      </c>
      <c r="L55" s="1"/>
    </row>
    <row r="56" spans="1:12" x14ac:dyDescent="0.3">
      <c r="A56" s="39">
        <v>42947</v>
      </c>
      <c r="B56" s="14">
        <f t="shared" si="3"/>
        <v>416275</v>
      </c>
      <c r="C56" s="14">
        <f t="shared" si="4"/>
        <v>390035</v>
      </c>
      <c r="D56" s="17">
        <v>177206</v>
      </c>
      <c r="E56" s="17">
        <v>56666</v>
      </c>
      <c r="F56" s="17">
        <v>126928</v>
      </c>
      <c r="G56" s="17">
        <v>19560</v>
      </c>
      <c r="H56" s="17">
        <v>9675</v>
      </c>
      <c r="I56" s="15">
        <f t="shared" si="2"/>
        <v>26240</v>
      </c>
      <c r="J56" s="17">
        <v>8898</v>
      </c>
      <c r="K56" s="17">
        <v>17342</v>
      </c>
      <c r="L56" s="1"/>
    </row>
    <row r="57" spans="1:12" x14ac:dyDescent="0.3">
      <c r="A57" s="39">
        <v>42978</v>
      </c>
      <c r="B57" s="14">
        <f t="shared" si="3"/>
        <v>418235</v>
      </c>
      <c r="C57" s="14">
        <f t="shared" si="4"/>
        <v>392182</v>
      </c>
      <c r="D57" s="17">
        <v>180525</v>
      </c>
      <c r="E57" s="17">
        <v>56654</v>
      </c>
      <c r="F57" s="17">
        <v>126285</v>
      </c>
      <c r="G57" s="17">
        <v>19497</v>
      </c>
      <c r="H57" s="17">
        <v>9221</v>
      </c>
      <c r="I57" s="15">
        <f t="shared" si="2"/>
        <v>26053</v>
      </c>
      <c r="J57" s="17">
        <v>8779</v>
      </c>
      <c r="K57" s="17">
        <v>17274</v>
      </c>
      <c r="L57" s="1"/>
    </row>
    <row r="58" spans="1:12" x14ac:dyDescent="0.3">
      <c r="A58" s="39">
        <v>43008</v>
      </c>
      <c r="B58" s="14">
        <f t="shared" si="3"/>
        <v>410819</v>
      </c>
      <c r="C58" s="14">
        <f t="shared" si="4"/>
        <v>385009</v>
      </c>
      <c r="D58" s="17">
        <v>176992</v>
      </c>
      <c r="E58" s="17">
        <v>55599</v>
      </c>
      <c r="F58" s="17">
        <v>122785</v>
      </c>
      <c r="G58" s="17">
        <v>19458</v>
      </c>
      <c r="H58" s="17">
        <v>10175</v>
      </c>
      <c r="I58" s="15">
        <f t="shared" si="2"/>
        <v>25810</v>
      </c>
      <c r="J58" s="17">
        <v>8704</v>
      </c>
      <c r="K58" s="17">
        <v>17106</v>
      </c>
      <c r="L58" s="1"/>
    </row>
    <row r="59" spans="1:12" x14ac:dyDescent="0.3">
      <c r="A59" s="39">
        <v>43038</v>
      </c>
      <c r="B59" s="14">
        <f t="shared" si="3"/>
        <v>404564</v>
      </c>
      <c r="C59" s="14">
        <f t="shared" si="4"/>
        <v>378786</v>
      </c>
      <c r="D59" s="17">
        <v>173654</v>
      </c>
      <c r="E59" s="17">
        <v>53938</v>
      </c>
      <c r="F59" s="17">
        <v>119503</v>
      </c>
      <c r="G59" s="17">
        <v>19825</v>
      </c>
      <c r="H59" s="17">
        <v>11866</v>
      </c>
      <c r="I59" s="15">
        <f t="shared" si="2"/>
        <v>25778</v>
      </c>
      <c r="J59" s="17">
        <v>8677</v>
      </c>
      <c r="K59" s="17">
        <v>17101</v>
      </c>
      <c r="L59" s="1"/>
    </row>
    <row r="60" spans="1:12" x14ac:dyDescent="0.3">
      <c r="A60" s="39">
        <v>43069</v>
      </c>
      <c r="B60" s="14">
        <f t="shared" si="3"/>
        <v>404625</v>
      </c>
      <c r="C60" s="14">
        <f t="shared" si="4"/>
        <v>378870</v>
      </c>
      <c r="D60" s="17">
        <v>171196</v>
      </c>
      <c r="E60" s="17">
        <v>52980</v>
      </c>
      <c r="F60" s="17">
        <v>117201</v>
      </c>
      <c r="G60" s="17">
        <v>19066</v>
      </c>
      <c r="H60" s="17">
        <v>18427</v>
      </c>
      <c r="I60" s="15">
        <f t="shared" si="2"/>
        <v>25755</v>
      </c>
      <c r="J60" s="17">
        <v>8663</v>
      </c>
      <c r="K60" s="17">
        <v>17092</v>
      </c>
      <c r="L60" s="1"/>
    </row>
    <row r="61" spans="1:12" x14ac:dyDescent="0.3">
      <c r="A61" s="39">
        <v>43100</v>
      </c>
      <c r="B61" s="14">
        <f t="shared" si="3"/>
        <v>403771</v>
      </c>
      <c r="C61" s="14">
        <f t="shared" si="4"/>
        <v>377791</v>
      </c>
      <c r="D61" s="17">
        <v>169228</v>
      </c>
      <c r="E61" s="17">
        <v>52610</v>
      </c>
      <c r="F61" s="17">
        <v>116760</v>
      </c>
      <c r="G61" s="17">
        <v>18587</v>
      </c>
      <c r="H61" s="17">
        <v>20606</v>
      </c>
      <c r="I61" s="15">
        <f t="shared" si="2"/>
        <v>25980</v>
      </c>
      <c r="J61" s="17">
        <v>8656</v>
      </c>
      <c r="K61" s="17">
        <v>17324</v>
      </c>
      <c r="L61" s="1"/>
    </row>
    <row r="62" spans="1:12" x14ac:dyDescent="0.3">
      <c r="A62" s="39">
        <v>43131</v>
      </c>
      <c r="B62" s="14">
        <f t="shared" si="3"/>
        <v>415539</v>
      </c>
      <c r="C62" s="14">
        <f t="shared" si="4"/>
        <v>389580</v>
      </c>
      <c r="D62" s="18">
        <v>172949</v>
      </c>
      <c r="E62" s="18">
        <v>54464</v>
      </c>
      <c r="F62" s="18">
        <v>121277</v>
      </c>
      <c r="G62" s="18">
        <v>19091</v>
      </c>
      <c r="H62" s="18">
        <v>21799</v>
      </c>
      <c r="I62" s="15">
        <f t="shared" si="2"/>
        <v>25959</v>
      </c>
      <c r="J62" s="18">
        <v>8648</v>
      </c>
      <c r="K62" s="18">
        <v>17311</v>
      </c>
      <c r="L62" s="1"/>
    </row>
    <row r="63" spans="1:12" x14ac:dyDescent="0.3">
      <c r="A63" s="39">
        <v>43159</v>
      </c>
      <c r="B63" s="14">
        <f t="shared" si="3"/>
        <v>404604</v>
      </c>
      <c r="C63" s="14">
        <f t="shared" si="4"/>
        <v>378674</v>
      </c>
      <c r="D63" s="18">
        <v>167091</v>
      </c>
      <c r="E63" s="18">
        <v>52949</v>
      </c>
      <c r="F63" s="18">
        <v>119982</v>
      </c>
      <c r="G63" s="18">
        <v>18800</v>
      </c>
      <c r="H63" s="18">
        <v>19852</v>
      </c>
      <c r="I63" s="15">
        <f t="shared" si="2"/>
        <v>25930</v>
      </c>
      <c r="J63" s="18">
        <v>8630</v>
      </c>
      <c r="K63" s="18">
        <v>17300</v>
      </c>
      <c r="L63" s="1"/>
    </row>
    <row r="64" spans="1:12" x14ac:dyDescent="0.3">
      <c r="A64" s="39">
        <v>43190</v>
      </c>
      <c r="B64" s="14">
        <f t="shared" si="3"/>
        <v>393335</v>
      </c>
      <c r="C64" s="14">
        <f t="shared" si="4"/>
        <v>367458</v>
      </c>
      <c r="D64" s="19">
        <v>164242</v>
      </c>
      <c r="E64" s="19">
        <v>51220</v>
      </c>
      <c r="F64" s="19">
        <v>117668</v>
      </c>
      <c r="G64" s="19">
        <v>18812</v>
      </c>
      <c r="H64" s="19">
        <v>15516</v>
      </c>
      <c r="I64" s="15">
        <f t="shared" si="2"/>
        <v>25877</v>
      </c>
      <c r="J64" s="19">
        <v>8612</v>
      </c>
      <c r="K64" s="19">
        <v>17265</v>
      </c>
      <c r="L64" s="1"/>
    </row>
    <row r="65" spans="1:12" x14ac:dyDescent="0.3">
      <c r="A65" s="39">
        <v>43220</v>
      </c>
      <c r="B65" s="14">
        <f t="shared" si="3"/>
        <v>376014</v>
      </c>
      <c r="C65" s="14">
        <f t="shared" si="4"/>
        <v>350209</v>
      </c>
      <c r="D65" s="19">
        <v>158432</v>
      </c>
      <c r="E65" s="19">
        <v>49967</v>
      </c>
      <c r="F65" s="19">
        <v>112129</v>
      </c>
      <c r="G65" s="19">
        <v>17546</v>
      </c>
      <c r="H65" s="19">
        <v>12135</v>
      </c>
      <c r="I65" s="15">
        <f t="shared" si="2"/>
        <v>25805</v>
      </c>
      <c r="J65" s="19">
        <v>8588</v>
      </c>
      <c r="K65" s="19">
        <v>17217</v>
      </c>
      <c r="L65" s="1"/>
    </row>
    <row r="66" spans="1:12" x14ac:dyDescent="0.3">
      <c r="A66" s="39">
        <v>43251</v>
      </c>
      <c r="B66" s="14">
        <f t="shared" si="3"/>
        <v>350174</v>
      </c>
      <c r="C66" s="14">
        <f t="shared" si="4"/>
        <v>325160</v>
      </c>
      <c r="D66" s="19">
        <v>147254</v>
      </c>
      <c r="E66" s="19">
        <v>46448</v>
      </c>
      <c r="F66" s="19">
        <v>106420</v>
      </c>
      <c r="G66" s="19">
        <v>15770</v>
      </c>
      <c r="H66" s="19">
        <v>9268</v>
      </c>
      <c r="I66" s="15">
        <f t="shared" si="2"/>
        <v>25014</v>
      </c>
      <c r="J66" s="19">
        <v>8344</v>
      </c>
      <c r="K66" s="19">
        <v>16670</v>
      </c>
      <c r="L66" s="1"/>
    </row>
    <row r="67" spans="1:12" x14ac:dyDescent="0.3">
      <c r="A67" s="39">
        <v>43281</v>
      </c>
      <c r="B67" s="14">
        <f t="shared" si="3"/>
        <v>332395</v>
      </c>
      <c r="C67" s="14">
        <f t="shared" si="4"/>
        <v>308245</v>
      </c>
      <c r="D67" s="19">
        <v>139288</v>
      </c>
      <c r="E67" s="19">
        <v>44162</v>
      </c>
      <c r="F67" s="19">
        <v>102246</v>
      </c>
      <c r="G67" s="19">
        <v>14751</v>
      </c>
      <c r="H67" s="19">
        <v>7798</v>
      </c>
      <c r="I67" s="15">
        <f t="shared" ref="I67:I106" si="5">SUM(J67:K67)</f>
        <v>24150</v>
      </c>
      <c r="J67" s="19">
        <v>8010</v>
      </c>
      <c r="K67" s="19">
        <v>16140</v>
      </c>
      <c r="L67" s="1"/>
    </row>
    <row r="68" spans="1:12" x14ac:dyDescent="0.3">
      <c r="A68" s="39">
        <v>43312</v>
      </c>
      <c r="B68" s="14">
        <f t="shared" si="3"/>
        <v>330587</v>
      </c>
      <c r="C68" s="14">
        <f t="shared" si="4"/>
        <v>306779</v>
      </c>
      <c r="D68" s="18">
        <v>139093</v>
      </c>
      <c r="E68" s="18">
        <v>44034</v>
      </c>
      <c r="F68" s="18">
        <v>101265</v>
      </c>
      <c r="G68" s="18">
        <v>14870</v>
      </c>
      <c r="H68" s="18">
        <v>7517</v>
      </c>
      <c r="I68" s="15">
        <f t="shared" si="5"/>
        <v>23808</v>
      </c>
      <c r="J68" s="18">
        <v>7938</v>
      </c>
      <c r="K68" s="18">
        <v>15870</v>
      </c>
      <c r="L68" s="1"/>
    </row>
    <row r="69" spans="1:12" x14ac:dyDescent="0.3">
      <c r="A69" s="39">
        <v>43343</v>
      </c>
      <c r="B69" s="14">
        <f t="shared" si="3"/>
        <v>338147</v>
      </c>
      <c r="C69" s="14">
        <f t="shared" si="4"/>
        <v>314419</v>
      </c>
      <c r="D69" s="18">
        <v>142187</v>
      </c>
      <c r="E69" s="18">
        <v>45866</v>
      </c>
      <c r="F69" s="18">
        <v>103035</v>
      </c>
      <c r="G69" s="18">
        <v>15622</v>
      </c>
      <c r="H69" s="18">
        <v>7709</v>
      </c>
      <c r="I69" s="15">
        <f t="shared" si="5"/>
        <v>23728</v>
      </c>
      <c r="J69" s="18">
        <v>7898</v>
      </c>
      <c r="K69" s="18">
        <v>15830</v>
      </c>
      <c r="L69" s="1"/>
    </row>
    <row r="70" spans="1:12" x14ac:dyDescent="0.3">
      <c r="A70" s="39">
        <v>43373</v>
      </c>
      <c r="B70" s="14">
        <f t="shared" si="3"/>
        <v>338935</v>
      </c>
      <c r="C70" s="14">
        <f t="shared" si="4"/>
        <v>315406</v>
      </c>
      <c r="D70" s="19">
        <v>142866</v>
      </c>
      <c r="E70" s="19">
        <v>46569</v>
      </c>
      <c r="F70" s="19">
        <v>101659</v>
      </c>
      <c r="G70" s="19">
        <v>15650</v>
      </c>
      <c r="H70" s="19">
        <v>8662</v>
      </c>
      <c r="I70" s="15">
        <f t="shared" si="5"/>
        <v>23529</v>
      </c>
      <c r="J70" s="19">
        <v>7722</v>
      </c>
      <c r="K70" s="19">
        <v>15807</v>
      </c>
      <c r="L70" s="1"/>
    </row>
    <row r="71" spans="1:12" x14ac:dyDescent="0.3">
      <c r="A71" s="39">
        <v>43403</v>
      </c>
      <c r="B71" s="14">
        <f t="shared" si="3"/>
        <v>334241</v>
      </c>
      <c r="C71" s="14">
        <f t="shared" si="4"/>
        <v>310556</v>
      </c>
      <c r="D71" s="19">
        <v>139895</v>
      </c>
      <c r="E71" s="19">
        <v>44786</v>
      </c>
      <c r="F71" s="19">
        <v>99521</v>
      </c>
      <c r="G71" s="19">
        <v>15599</v>
      </c>
      <c r="H71" s="19">
        <v>10755</v>
      </c>
      <c r="I71" s="15">
        <f t="shared" si="5"/>
        <v>23685</v>
      </c>
      <c r="J71" s="19">
        <v>7713</v>
      </c>
      <c r="K71" s="19">
        <v>15972</v>
      </c>
      <c r="L71" s="1"/>
    </row>
    <row r="72" spans="1:12" x14ac:dyDescent="0.3">
      <c r="A72" s="39">
        <v>43434</v>
      </c>
      <c r="B72" s="14">
        <f t="shared" si="3"/>
        <v>334897</v>
      </c>
      <c r="C72" s="14">
        <f t="shared" si="4"/>
        <v>310931</v>
      </c>
      <c r="D72" s="18">
        <v>137143</v>
      </c>
      <c r="E72" s="18">
        <v>42856</v>
      </c>
      <c r="F72" s="18">
        <v>97488</v>
      </c>
      <c r="G72" s="18">
        <v>15627</v>
      </c>
      <c r="H72" s="18">
        <v>17817</v>
      </c>
      <c r="I72" s="15">
        <f t="shared" si="5"/>
        <v>23966</v>
      </c>
      <c r="J72" s="18">
        <v>7709</v>
      </c>
      <c r="K72" s="18">
        <v>16257</v>
      </c>
      <c r="L72" s="1"/>
    </row>
    <row r="73" spans="1:12" x14ac:dyDescent="0.3">
      <c r="A73" s="39">
        <v>43465</v>
      </c>
      <c r="B73" s="14">
        <f t="shared" si="3"/>
        <v>339035</v>
      </c>
      <c r="C73" s="14">
        <f t="shared" si="4"/>
        <v>315093</v>
      </c>
      <c r="D73" s="18">
        <v>137025</v>
      </c>
      <c r="E73" s="18">
        <v>44584</v>
      </c>
      <c r="F73" s="18">
        <v>97703</v>
      </c>
      <c r="G73" s="18">
        <v>16063</v>
      </c>
      <c r="H73" s="18">
        <v>19718</v>
      </c>
      <c r="I73" s="15">
        <f t="shared" si="5"/>
        <v>23942</v>
      </c>
      <c r="J73" s="18">
        <v>7697</v>
      </c>
      <c r="K73" s="18">
        <v>16245</v>
      </c>
      <c r="L73" s="1"/>
    </row>
    <row r="74" spans="1:12" x14ac:dyDescent="0.3">
      <c r="A74" s="39">
        <v>43496</v>
      </c>
      <c r="B74" s="14">
        <f t="shared" si="3"/>
        <v>350772</v>
      </c>
      <c r="C74" s="14">
        <f t="shared" si="4"/>
        <v>326526</v>
      </c>
      <c r="D74" s="18">
        <v>140696</v>
      </c>
      <c r="E74" s="18">
        <v>46703</v>
      </c>
      <c r="F74" s="18">
        <v>101758</v>
      </c>
      <c r="G74" s="18">
        <v>16621</v>
      </c>
      <c r="H74" s="18">
        <v>20748</v>
      </c>
      <c r="I74" s="15">
        <f t="shared" si="5"/>
        <v>24246</v>
      </c>
      <c r="J74" s="18">
        <v>7685</v>
      </c>
      <c r="K74" s="18">
        <v>16561</v>
      </c>
      <c r="L74" s="1"/>
    </row>
    <row r="75" spans="1:12" x14ac:dyDescent="0.3">
      <c r="A75" s="39">
        <v>43524</v>
      </c>
      <c r="B75" s="14">
        <f t="shared" si="3"/>
        <v>342702</v>
      </c>
      <c r="C75" s="14">
        <f t="shared" si="4"/>
        <v>318523</v>
      </c>
      <c r="D75" s="18">
        <v>137964</v>
      </c>
      <c r="E75" s="18">
        <v>45660</v>
      </c>
      <c r="F75" s="18">
        <v>100102</v>
      </c>
      <c r="G75" s="18">
        <v>15783</v>
      </c>
      <c r="H75" s="18">
        <v>19014</v>
      </c>
      <c r="I75" s="15">
        <f t="shared" si="5"/>
        <v>24179</v>
      </c>
      <c r="J75" s="18">
        <v>7665</v>
      </c>
      <c r="K75" s="18">
        <v>16514</v>
      </c>
      <c r="L75" s="1"/>
    </row>
    <row r="76" spans="1:12" x14ac:dyDescent="0.3">
      <c r="A76" s="39">
        <v>43555</v>
      </c>
      <c r="B76" s="14">
        <f t="shared" si="3"/>
        <v>333776</v>
      </c>
      <c r="C76" s="14">
        <f t="shared" si="4"/>
        <v>309841</v>
      </c>
      <c r="D76" s="19">
        <v>136319</v>
      </c>
      <c r="E76" s="19">
        <v>44374</v>
      </c>
      <c r="F76" s="19">
        <v>98370</v>
      </c>
      <c r="G76" s="19">
        <v>15473</v>
      </c>
      <c r="H76" s="19">
        <v>15305</v>
      </c>
      <c r="I76" s="15">
        <f t="shared" si="5"/>
        <v>23935</v>
      </c>
      <c r="J76" s="19">
        <v>7624</v>
      </c>
      <c r="K76" s="19">
        <v>16311</v>
      </c>
      <c r="L76" s="1"/>
    </row>
    <row r="77" spans="1:12" x14ac:dyDescent="0.3">
      <c r="A77" s="39">
        <v>43585</v>
      </c>
      <c r="B77" s="14">
        <f t="shared" si="3"/>
        <v>321240</v>
      </c>
      <c r="C77" s="14">
        <f t="shared" si="4"/>
        <v>297625</v>
      </c>
      <c r="D77" s="19">
        <v>133143</v>
      </c>
      <c r="E77" s="19">
        <v>43663</v>
      </c>
      <c r="F77" s="19">
        <v>94043</v>
      </c>
      <c r="G77" s="19">
        <v>14994</v>
      </c>
      <c r="H77" s="19">
        <v>11782</v>
      </c>
      <c r="I77" s="15">
        <f t="shared" si="5"/>
        <v>23615</v>
      </c>
      <c r="J77" s="19">
        <v>7422</v>
      </c>
      <c r="K77" s="19">
        <v>16193</v>
      </c>
      <c r="L77" s="1"/>
    </row>
    <row r="78" spans="1:12" x14ac:dyDescent="0.3">
      <c r="A78" s="39">
        <v>43616</v>
      </c>
      <c r="B78" s="14">
        <f t="shared" ref="B78:B106" si="6">C78+I78</f>
        <v>305171</v>
      </c>
      <c r="C78" s="14">
        <f t="shared" ref="C78:C106" si="7">SUM(D78:H78)</f>
        <v>282292</v>
      </c>
      <c r="D78" s="18">
        <v>126663</v>
      </c>
      <c r="E78" s="18">
        <v>41451</v>
      </c>
      <c r="F78" s="18">
        <v>91018</v>
      </c>
      <c r="G78" s="18">
        <v>14007</v>
      </c>
      <c r="H78" s="18">
        <v>9153</v>
      </c>
      <c r="I78" s="15">
        <f t="shared" si="5"/>
        <v>22879</v>
      </c>
      <c r="J78" s="18">
        <v>7136</v>
      </c>
      <c r="K78" s="18">
        <v>15743</v>
      </c>
      <c r="L78" s="1"/>
    </row>
    <row r="79" spans="1:12" x14ac:dyDescent="0.3">
      <c r="A79" s="39">
        <v>43646</v>
      </c>
      <c r="B79" s="14">
        <f t="shared" si="6"/>
        <v>298191</v>
      </c>
      <c r="C79" s="14">
        <f t="shared" si="7"/>
        <v>275950</v>
      </c>
      <c r="D79" s="18">
        <v>124858</v>
      </c>
      <c r="E79" s="18">
        <v>40843</v>
      </c>
      <c r="F79" s="18">
        <v>88850</v>
      </c>
      <c r="G79" s="18">
        <v>13520</v>
      </c>
      <c r="H79" s="18">
        <v>7879</v>
      </c>
      <c r="I79" s="15">
        <f t="shared" si="5"/>
        <v>22241</v>
      </c>
      <c r="J79" s="18">
        <v>7084</v>
      </c>
      <c r="K79" s="18">
        <v>15157</v>
      </c>
      <c r="L79" s="1"/>
    </row>
    <row r="80" spans="1:12" x14ac:dyDescent="0.3">
      <c r="A80" s="39">
        <v>43677</v>
      </c>
      <c r="B80" s="14">
        <f t="shared" si="6"/>
        <v>297290</v>
      </c>
      <c r="C80" s="14">
        <f t="shared" si="7"/>
        <v>275261</v>
      </c>
      <c r="D80" s="18">
        <v>124246</v>
      </c>
      <c r="E80" s="18">
        <v>40626</v>
      </c>
      <c r="F80" s="18">
        <v>89204</v>
      </c>
      <c r="G80" s="18">
        <v>13956</v>
      </c>
      <c r="H80" s="18">
        <v>7229</v>
      </c>
      <c r="I80" s="15">
        <f t="shared" si="5"/>
        <v>22029</v>
      </c>
      <c r="J80" s="18">
        <v>7058</v>
      </c>
      <c r="K80" s="18">
        <v>14971</v>
      </c>
      <c r="L80" s="1"/>
    </row>
    <row r="81" spans="1:12" x14ac:dyDescent="0.3">
      <c r="A81" s="39">
        <v>43708</v>
      </c>
      <c r="B81" s="14">
        <f t="shared" si="6"/>
        <v>304330</v>
      </c>
      <c r="C81" s="14">
        <f t="shared" si="7"/>
        <v>282365</v>
      </c>
      <c r="D81" s="18">
        <v>127281</v>
      </c>
      <c r="E81" s="18">
        <v>42323</v>
      </c>
      <c r="F81" s="18">
        <v>91140</v>
      </c>
      <c r="G81" s="18">
        <v>14268</v>
      </c>
      <c r="H81" s="18">
        <v>7353</v>
      </c>
      <c r="I81" s="15">
        <f t="shared" si="5"/>
        <v>21965</v>
      </c>
      <c r="J81" s="18">
        <v>7040</v>
      </c>
      <c r="K81" s="18">
        <v>14925</v>
      </c>
      <c r="L81" s="1"/>
    </row>
    <row r="82" spans="1:12" x14ac:dyDescent="0.3">
      <c r="A82" s="39">
        <v>43738</v>
      </c>
      <c r="B82" s="14">
        <f t="shared" si="6"/>
        <v>301282</v>
      </c>
      <c r="C82" s="14">
        <f t="shared" si="7"/>
        <v>279388</v>
      </c>
      <c r="D82" s="19">
        <v>126215</v>
      </c>
      <c r="E82" s="19">
        <v>42188</v>
      </c>
      <c r="F82" s="19">
        <v>88445</v>
      </c>
      <c r="G82" s="19">
        <v>14264</v>
      </c>
      <c r="H82" s="19">
        <v>8276</v>
      </c>
      <c r="I82" s="15">
        <f t="shared" si="5"/>
        <v>21894</v>
      </c>
      <c r="J82" s="19">
        <v>7029</v>
      </c>
      <c r="K82" s="19">
        <v>14865</v>
      </c>
      <c r="L82" s="1"/>
    </row>
    <row r="83" spans="1:12" x14ac:dyDescent="0.3">
      <c r="A83" s="39">
        <v>43768</v>
      </c>
      <c r="B83" s="14">
        <f t="shared" si="6"/>
        <v>300019</v>
      </c>
      <c r="C83" s="14">
        <f t="shared" si="7"/>
        <v>278136</v>
      </c>
      <c r="D83" s="19">
        <v>124078</v>
      </c>
      <c r="E83" s="19">
        <v>41647</v>
      </c>
      <c r="F83" s="19">
        <v>87441</v>
      </c>
      <c r="G83" s="19">
        <v>14685</v>
      </c>
      <c r="H83" s="19">
        <v>10285</v>
      </c>
      <c r="I83" s="15">
        <f t="shared" si="5"/>
        <v>21883</v>
      </c>
      <c r="J83" s="19">
        <v>7007</v>
      </c>
      <c r="K83" s="19">
        <v>14876</v>
      </c>
      <c r="L83" s="1"/>
    </row>
    <row r="84" spans="1:12" x14ac:dyDescent="0.3">
      <c r="A84" s="39">
        <v>43799</v>
      </c>
      <c r="B84" s="14">
        <f t="shared" si="6"/>
        <v>305961</v>
      </c>
      <c r="C84" s="14">
        <f t="shared" si="7"/>
        <v>283866</v>
      </c>
      <c r="D84" s="13">
        <v>122861</v>
      </c>
      <c r="E84" s="13">
        <v>41388</v>
      </c>
      <c r="F84" s="13">
        <v>87593</v>
      </c>
      <c r="G84" s="13">
        <v>14674</v>
      </c>
      <c r="H84" s="13">
        <v>17350</v>
      </c>
      <c r="I84" s="15">
        <f t="shared" si="5"/>
        <v>22095</v>
      </c>
      <c r="J84" s="13">
        <v>6994</v>
      </c>
      <c r="K84" s="13">
        <v>15101</v>
      </c>
      <c r="L84" s="1"/>
    </row>
    <row r="85" spans="1:12" x14ac:dyDescent="0.3">
      <c r="A85" s="39">
        <v>43830</v>
      </c>
      <c r="B85" s="14">
        <f t="shared" si="6"/>
        <v>310482</v>
      </c>
      <c r="C85" s="14">
        <f t="shared" si="7"/>
        <v>288176</v>
      </c>
      <c r="D85" s="13">
        <v>123369</v>
      </c>
      <c r="E85" s="13">
        <v>41678</v>
      </c>
      <c r="F85" s="13">
        <v>88732</v>
      </c>
      <c r="G85" s="13">
        <v>14918</v>
      </c>
      <c r="H85" s="13">
        <v>19479</v>
      </c>
      <c r="I85" s="15">
        <f t="shared" si="5"/>
        <v>22306</v>
      </c>
      <c r="J85" s="13">
        <v>6982</v>
      </c>
      <c r="K85" s="13">
        <v>15324</v>
      </c>
      <c r="L85" s="1"/>
    </row>
    <row r="86" spans="1:12" x14ac:dyDescent="0.3">
      <c r="A86" s="39">
        <v>43861</v>
      </c>
      <c r="B86" s="14">
        <f t="shared" si="6"/>
        <v>320558</v>
      </c>
      <c r="C86" s="14">
        <f t="shared" si="7"/>
        <v>297931</v>
      </c>
      <c r="D86" s="13">
        <v>125571</v>
      </c>
      <c r="E86" s="13">
        <v>42894</v>
      </c>
      <c r="F86" s="13">
        <v>93050</v>
      </c>
      <c r="G86" s="13">
        <v>15601</v>
      </c>
      <c r="H86" s="13">
        <v>20815</v>
      </c>
      <c r="I86" s="15">
        <f t="shared" ref="I86:I97" si="8">SUM(J86:K86)</f>
        <v>22627</v>
      </c>
      <c r="J86" s="13">
        <v>6973</v>
      </c>
      <c r="K86" s="13">
        <v>15654</v>
      </c>
      <c r="L86" s="1"/>
    </row>
    <row r="87" spans="1:12" x14ac:dyDescent="0.3">
      <c r="A87" s="39">
        <v>43889</v>
      </c>
      <c r="B87" s="14">
        <f t="shared" si="6"/>
        <v>315562</v>
      </c>
      <c r="C87" s="14">
        <f t="shared" si="7"/>
        <v>293016</v>
      </c>
      <c r="D87" s="13">
        <v>124337</v>
      </c>
      <c r="E87" s="13">
        <v>41927</v>
      </c>
      <c r="F87" s="13">
        <v>92458</v>
      </c>
      <c r="G87" s="13">
        <v>15106</v>
      </c>
      <c r="H87" s="13">
        <v>19188</v>
      </c>
      <c r="I87" s="15">
        <f t="shared" si="8"/>
        <v>22546</v>
      </c>
      <c r="J87" s="13">
        <v>6956</v>
      </c>
      <c r="K87" s="13">
        <v>15590</v>
      </c>
      <c r="L87" s="1"/>
    </row>
    <row r="88" spans="1:12" x14ac:dyDescent="0.3">
      <c r="A88" s="39">
        <v>43921</v>
      </c>
      <c r="B88" s="14">
        <f t="shared" si="6"/>
        <v>343761</v>
      </c>
      <c r="C88" s="14">
        <f t="shared" si="7"/>
        <v>321164</v>
      </c>
      <c r="D88" s="19">
        <v>134578</v>
      </c>
      <c r="E88" s="19">
        <v>45845</v>
      </c>
      <c r="F88" s="19">
        <v>102108</v>
      </c>
      <c r="G88" s="19">
        <v>16997</v>
      </c>
      <c r="H88" s="19">
        <v>21636</v>
      </c>
      <c r="I88" s="15">
        <f t="shared" si="8"/>
        <v>22597</v>
      </c>
      <c r="J88" s="19">
        <v>6951</v>
      </c>
      <c r="K88" s="19">
        <v>15646</v>
      </c>
      <c r="L88" s="1"/>
    </row>
    <row r="89" spans="1:12" x14ac:dyDescent="0.3">
      <c r="A89" s="39">
        <v>43951</v>
      </c>
      <c r="B89" s="14">
        <f t="shared" si="6"/>
        <v>392323</v>
      </c>
      <c r="C89" s="14">
        <f t="shared" si="7"/>
        <v>368925</v>
      </c>
      <c r="D89" s="19">
        <v>151853</v>
      </c>
      <c r="E89" s="19">
        <v>50807</v>
      </c>
      <c r="F89" s="19">
        <v>121004</v>
      </c>
      <c r="G89" s="19">
        <v>18882</v>
      </c>
      <c r="H89" s="19">
        <v>26379</v>
      </c>
      <c r="I89" s="15">
        <f t="shared" si="8"/>
        <v>23398</v>
      </c>
      <c r="J89" s="19">
        <v>6963</v>
      </c>
      <c r="K89" s="19">
        <v>16435</v>
      </c>
      <c r="L89" s="1"/>
    </row>
    <row r="90" spans="1:12" x14ac:dyDescent="0.3">
      <c r="A90" s="39">
        <v>43982</v>
      </c>
      <c r="B90" s="14">
        <f t="shared" si="6"/>
        <v>408934</v>
      </c>
      <c r="C90" s="14">
        <f t="shared" si="7"/>
        <v>384504</v>
      </c>
      <c r="D90" s="18">
        <v>156260</v>
      </c>
      <c r="E90" s="18">
        <v>52033</v>
      </c>
      <c r="F90" s="18">
        <v>129917</v>
      </c>
      <c r="G90" s="18">
        <v>18619</v>
      </c>
      <c r="H90" s="18">
        <v>27675</v>
      </c>
      <c r="I90" s="15">
        <f t="shared" si="8"/>
        <v>24430</v>
      </c>
      <c r="J90" s="18">
        <v>6965</v>
      </c>
      <c r="K90" s="18">
        <v>17465</v>
      </c>
      <c r="L90" s="1"/>
    </row>
    <row r="91" spans="1:12" x14ac:dyDescent="0.3">
      <c r="A91" s="39">
        <v>44012</v>
      </c>
      <c r="B91" s="14">
        <f t="shared" si="6"/>
        <v>406665</v>
      </c>
      <c r="C91" s="14">
        <f t="shared" si="7"/>
        <v>381629</v>
      </c>
      <c r="D91" s="18">
        <v>153548</v>
      </c>
      <c r="E91" s="18">
        <v>51618</v>
      </c>
      <c r="F91" s="18">
        <v>131972</v>
      </c>
      <c r="G91" s="18">
        <v>18351</v>
      </c>
      <c r="H91" s="18">
        <v>26140</v>
      </c>
      <c r="I91" s="15">
        <f t="shared" si="8"/>
        <v>25036</v>
      </c>
      <c r="J91" s="18">
        <v>6963</v>
      </c>
      <c r="K91" s="18">
        <v>18073</v>
      </c>
      <c r="L91" s="1"/>
    </row>
    <row r="92" spans="1:12" x14ac:dyDescent="0.3">
      <c r="A92" s="39">
        <v>44043</v>
      </c>
      <c r="B92" s="14">
        <f t="shared" si="6"/>
        <v>407302</v>
      </c>
      <c r="C92" s="14">
        <f t="shared" si="7"/>
        <v>382019</v>
      </c>
      <c r="D92" s="19">
        <v>154667</v>
      </c>
      <c r="E92" s="19">
        <v>51267</v>
      </c>
      <c r="F92" s="19">
        <v>135240</v>
      </c>
      <c r="G92" s="19">
        <v>17995</v>
      </c>
      <c r="H92" s="19">
        <v>22850</v>
      </c>
      <c r="I92" s="15">
        <f t="shared" si="8"/>
        <v>25283</v>
      </c>
      <c r="J92" s="19">
        <v>6957</v>
      </c>
      <c r="K92" s="19">
        <v>18326</v>
      </c>
      <c r="L92" s="1"/>
    </row>
    <row r="93" spans="1:12" x14ac:dyDescent="0.3">
      <c r="A93" s="39">
        <v>44074</v>
      </c>
      <c r="B93" s="14">
        <f t="shared" si="6"/>
        <v>409331</v>
      </c>
      <c r="C93" s="14">
        <f t="shared" si="7"/>
        <v>383482</v>
      </c>
      <c r="D93" s="19">
        <v>158013</v>
      </c>
      <c r="E93" s="19">
        <v>51944</v>
      </c>
      <c r="F93" s="19">
        <v>134944</v>
      </c>
      <c r="G93" s="19">
        <v>18156</v>
      </c>
      <c r="H93" s="19">
        <v>20425</v>
      </c>
      <c r="I93" s="15">
        <f t="shared" si="8"/>
        <v>25849</v>
      </c>
      <c r="J93" s="19">
        <v>6949</v>
      </c>
      <c r="K93" s="19">
        <v>18900</v>
      </c>
      <c r="L93" s="1"/>
    </row>
    <row r="94" spans="1:12" x14ac:dyDescent="0.3">
      <c r="A94" s="39">
        <v>44104</v>
      </c>
      <c r="B94" s="14">
        <f t="shared" si="6"/>
        <v>410174</v>
      </c>
      <c r="C94" s="14">
        <f t="shared" si="7"/>
        <v>383894</v>
      </c>
      <c r="D94" s="19">
        <v>156650</v>
      </c>
      <c r="E94" s="19">
        <v>50938</v>
      </c>
      <c r="F94" s="19">
        <v>136844</v>
      </c>
      <c r="G94" s="19">
        <v>18152</v>
      </c>
      <c r="H94" s="19">
        <v>21310</v>
      </c>
      <c r="I94" s="15">
        <f t="shared" si="8"/>
        <v>26280</v>
      </c>
      <c r="J94" s="19">
        <v>6942</v>
      </c>
      <c r="K94" s="19">
        <v>19338</v>
      </c>
      <c r="L94" s="1"/>
    </row>
    <row r="95" spans="1:12" x14ac:dyDescent="0.3">
      <c r="A95" s="39">
        <v>44134</v>
      </c>
      <c r="B95" s="14">
        <f t="shared" si="6"/>
        <v>403554</v>
      </c>
      <c r="C95" s="14">
        <f t="shared" si="7"/>
        <v>377196</v>
      </c>
      <c r="D95" s="19">
        <v>153022</v>
      </c>
      <c r="E95" s="19">
        <v>48843</v>
      </c>
      <c r="F95" s="19">
        <v>133707</v>
      </c>
      <c r="G95" s="19">
        <v>17536</v>
      </c>
      <c r="H95" s="19">
        <v>24088</v>
      </c>
      <c r="I95" s="15">
        <f t="shared" si="8"/>
        <v>26358</v>
      </c>
      <c r="J95" s="19">
        <v>6950</v>
      </c>
      <c r="K95" s="19">
        <v>19408</v>
      </c>
      <c r="L95" s="1"/>
    </row>
    <row r="96" spans="1:12" x14ac:dyDescent="0.3">
      <c r="A96" s="39">
        <v>44165</v>
      </c>
      <c r="B96" s="14">
        <f t="shared" si="6"/>
        <v>398287</v>
      </c>
      <c r="C96" s="14">
        <f t="shared" si="7"/>
        <v>371576</v>
      </c>
      <c r="D96" s="19">
        <v>149421</v>
      </c>
      <c r="E96" s="19">
        <v>47823</v>
      </c>
      <c r="F96" s="19">
        <v>128024</v>
      </c>
      <c r="G96" s="19">
        <v>17226</v>
      </c>
      <c r="H96" s="19">
        <v>29082</v>
      </c>
      <c r="I96" s="15">
        <f t="shared" si="8"/>
        <v>26711</v>
      </c>
      <c r="J96" s="19">
        <v>6962</v>
      </c>
      <c r="K96" s="19">
        <v>19749</v>
      </c>
      <c r="L96" s="1"/>
    </row>
    <row r="97" spans="1:12" x14ac:dyDescent="0.3">
      <c r="A97" s="39">
        <v>44196</v>
      </c>
      <c r="B97" s="14">
        <f t="shared" si="6"/>
        <v>402254</v>
      </c>
      <c r="C97" s="14">
        <f t="shared" si="7"/>
        <v>375150</v>
      </c>
      <c r="D97" s="19">
        <v>150308</v>
      </c>
      <c r="E97" s="19">
        <v>50576</v>
      </c>
      <c r="F97" s="19">
        <v>125213</v>
      </c>
      <c r="G97" s="19">
        <v>17740</v>
      </c>
      <c r="H97" s="19">
        <v>31313</v>
      </c>
      <c r="I97" s="15">
        <f t="shared" si="8"/>
        <v>27104</v>
      </c>
      <c r="J97" s="19">
        <v>6988</v>
      </c>
      <c r="K97" s="19">
        <v>20116</v>
      </c>
      <c r="L97" s="1"/>
    </row>
    <row r="98" spans="1:12" x14ac:dyDescent="0.3">
      <c r="A98" s="39">
        <v>44227</v>
      </c>
      <c r="B98" s="14">
        <f t="shared" si="6"/>
        <v>424359</v>
      </c>
      <c r="C98" s="14">
        <f t="shared" si="7"/>
        <v>396978</v>
      </c>
      <c r="D98" s="18">
        <v>157668</v>
      </c>
      <c r="E98" s="18">
        <v>52083</v>
      </c>
      <c r="F98" s="18">
        <v>135230</v>
      </c>
      <c r="G98" s="18">
        <v>18426</v>
      </c>
      <c r="H98" s="18">
        <v>33571</v>
      </c>
      <c r="I98" s="15">
        <f t="shared" si="5"/>
        <v>27381</v>
      </c>
      <c r="J98" s="18">
        <v>7032</v>
      </c>
      <c r="K98" s="18">
        <v>20349</v>
      </c>
      <c r="L98" s="1"/>
    </row>
    <row r="99" spans="1:12" x14ac:dyDescent="0.3">
      <c r="A99" s="39">
        <v>44255</v>
      </c>
      <c r="B99" s="14">
        <f t="shared" si="6"/>
        <v>431843</v>
      </c>
      <c r="C99" s="14">
        <f t="shared" si="7"/>
        <v>404456</v>
      </c>
      <c r="D99" s="18">
        <v>159942</v>
      </c>
      <c r="E99" s="18">
        <v>51498</v>
      </c>
      <c r="F99" s="18">
        <v>141326</v>
      </c>
      <c r="G99" s="18">
        <v>18231</v>
      </c>
      <c r="H99" s="18">
        <v>33459</v>
      </c>
      <c r="I99" s="15">
        <f t="shared" si="5"/>
        <v>27387</v>
      </c>
      <c r="J99" s="18">
        <v>7056</v>
      </c>
      <c r="K99" s="18">
        <v>20331</v>
      </c>
      <c r="L99" s="1"/>
    </row>
    <row r="100" spans="1:12" x14ac:dyDescent="0.3">
      <c r="A100" s="39">
        <v>44286</v>
      </c>
      <c r="B100" s="14">
        <f t="shared" si="6"/>
        <v>432851</v>
      </c>
      <c r="C100" s="14">
        <f t="shared" si="7"/>
        <v>405374</v>
      </c>
      <c r="D100" s="18">
        <v>158483</v>
      </c>
      <c r="E100" s="18">
        <v>51154</v>
      </c>
      <c r="F100" s="18">
        <v>143653</v>
      </c>
      <c r="G100" s="18">
        <v>18631</v>
      </c>
      <c r="H100" s="18">
        <v>33453</v>
      </c>
      <c r="I100" s="15">
        <f t="shared" si="5"/>
        <v>27477</v>
      </c>
      <c r="J100" s="18">
        <v>7049</v>
      </c>
      <c r="K100" s="18">
        <v>20428</v>
      </c>
      <c r="L100" s="1"/>
    </row>
    <row r="101" spans="1:12" x14ac:dyDescent="0.3">
      <c r="A101" s="39">
        <v>44316</v>
      </c>
      <c r="B101" s="14">
        <f t="shared" si="6"/>
        <v>423888</v>
      </c>
      <c r="C101" s="14">
        <f t="shared" si="7"/>
        <v>396707</v>
      </c>
      <c r="D101" s="18">
        <v>156362</v>
      </c>
      <c r="E101" s="18">
        <v>50187</v>
      </c>
      <c r="F101" s="18">
        <v>140134</v>
      </c>
      <c r="G101" s="18">
        <v>17753</v>
      </c>
      <c r="H101" s="18">
        <v>32271</v>
      </c>
      <c r="I101" s="15">
        <f t="shared" si="5"/>
        <v>27181</v>
      </c>
      <c r="J101" s="18">
        <v>6993</v>
      </c>
      <c r="K101" s="18">
        <v>20188</v>
      </c>
      <c r="L101" s="1"/>
    </row>
    <row r="102" spans="1:12" x14ac:dyDescent="0.3">
      <c r="A102" s="39">
        <v>44347</v>
      </c>
      <c r="B102" s="14">
        <f t="shared" si="6"/>
        <v>402183</v>
      </c>
      <c r="C102" s="14">
        <f t="shared" si="7"/>
        <v>375429</v>
      </c>
      <c r="D102" s="19">
        <v>149074</v>
      </c>
      <c r="E102" s="19">
        <v>47926</v>
      </c>
      <c r="F102" s="19">
        <v>135389</v>
      </c>
      <c r="G102" s="19">
        <v>16439</v>
      </c>
      <c r="H102" s="19">
        <v>26601</v>
      </c>
      <c r="I102" s="15">
        <f t="shared" si="5"/>
        <v>26754</v>
      </c>
      <c r="J102" s="19">
        <v>6857</v>
      </c>
      <c r="K102" s="19">
        <v>19897</v>
      </c>
      <c r="L102" s="1"/>
    </row>
    <row r="103" spans="1:12" x14ac:dyDescent="0.3">
      <c r="A103" s="39">
        <v>44377</v>
      </c>
      <c r="B103" s="14">
        <f t="shared" si="6"/>
        <v>377872</v>
      </c>
      <c r="C103" s="14">
        <f t="shared" si="7"/>
        <v>352250</v>
      </c>
      <c r="D103" s="19">
        <v>142343</v>
      </c>
      <c r="E103" s="19">
        <v>45493</v>
      </c>
      <c r="F103" s="19">
        <v>128848</v>
      </c>
      <c r="G103" s="19">
        <v>15536</v>
      </c>
      <c r="H103" s="19">
        <v>20030</v>
      </c>
      <c r="I103" s="15">
        <f t="shared" si="5"/>
        <v>25622</v>
      </c>
      <c r="J103" s="19">
        <v>6550</v>
      </c>
      <c r="K103" s="19">
        <v>19072</v>
      </c>
      <c r="L103" s="1"/>
    </row>
    <row r="104" spans="1:12" x14ac:dyDescent="0.3">
      <c r="A104" s="39">
        <v>44408</v>
      </c>
      <c r="B104" s="14">
        <f t="shared" si="6"/>
        <v>368704</v>
      </c>
      <c r="C104" s="14">
        <f t="shared" si="7"/>
        <v>343561</v>
      </c>
      <c r="D104" s="18">
        <v>139940</v>
      </c>
      <c r="E104" s="18">
        <v>44261</v>
      </c>
      <c r="F104" s="18">
        <v>126231</v>
      </c>
      <c r="G104" s="18">
        <v>15197</v>
      </c>
      <c r="H104" s="18">
        <v>17932</v>
      </c>
      <c r="I104" s="15">
        <f t="shared" si="5"/>
        <v>25143</v>
      </c>
      <c r="J104" s="18">
        <v>6497</v>
      </c>
      <c r="K104" s="18">
        <v>18646</v>
      </c>
      <c r="L104" s="1"/>
    </row>
    <row r="105" spans="1:12" x14ac:dyDescent="0.3">
      <c r="A105" s="39">
        <v>44439</v>
      </c>
      <c r="B105" s="14">
        <f t="shared" si="6"/>
        <v>368404</v>
      </c>
      <c r="C105" s="14">
        <f t="shared" si="7"/>
        <v>344541</v>
      </c>
      <c r="D105" s="18">
        <v>141178</v>
      </c>
      <c r="E105" s="18">
        <v>44951</v>
      </c>
      <c r="F105" s="18">
        <v>127305</v>
      </c>
      <c r="G105" s="18">
        <v>14741</v>
      </c>
      <c r="H105" s="18">
        <v>16366</v>
      </c>
      <c r="I105" s="15">
        <f t="shared" si="5"/>
        <v>23863</v>
      </c>
      <c r="J105" s="18">
        <v>6462</v>
      </c>
      <c r="K105" s="18">
        <v>17401</v>
      </c>
      <c r="L105" s="1"/>
    </row>
    <row r="106" spans="1:12" x14ac:dyDescent="0.3">
      <c r="A106" s="39">
        <v>44469</v>
      </c>
      <c r="B106" s="14">
        <f t="shared" si="6"/>
        <v>359148</v>
      </c>
      <c r="C106" s="14">
        <f t="shared" si="7"/>
        <v>336282</v>
      </c>
      <c r="D106" s="19">
        <v>138000</v>
      </c>
      <c r="E106" s="19">
        <v>44853</v>
      </c>
      <c r="F106" s="19">
        <v>122221</v>
      </c>
      <c r="G106" s="19">
        <v>14876</v>
      </c>
      <c r="H106" s="19">
        <v>16332</v>
      </c>
      <c r="I106" s="15">
        <f t="shared" si="5"/>
        <v>22866</v>
      </c>
      <c r="J106" s="19">
        <v>6425</v>
      </c>
      <c r="K106" s="19">
        <v>16441</v>
      </c>
      <c r="L106" s="1"/>
    </row>
    <row r="107" spans="1:12" x14ac:dyDescent="0.3">
      <c r="A107" s="39">
        <v>44499</v>
      </c>
      <c r="B107" s="14">
        <f t="shared" ref="B107:B109" si="9">C107+I107</f>
        <v>351667</v>
      </c>
      <c r="C107" s="14">
        <f t="shared" ref="C107:C109" si="10">SUM(D107:H107)</f>
        <v>329745</v>
      </c>
      <c r="D107" s="19">
        <v>135135</v>
      </c>
      <c r="E107" s="19">
        <v>43808</v>
      </c>
      <c r="F107" s="19">
        <v>118237</v>
      </c>
      <c r="G107" s="19">
        <v>15234</v>
      </c>
      <c r="H107" s="19">
        <v>17331</v>
      </c>
      <c r="I107" s="15">
        <f t="shared" ref="I107:I109" si="11">SUM(J107:K107)</f>
        <v>21922</v>
      </c>
      <c r="J107" s="19">
        <v>6253</v>
      </c>
      <c r="K107" s="19">
        <v>15669</v>
      </c>
      <c r="L107" s="1"/>
    </row>
    <row r="108" spans="1:12" x14ac:dyDescent="0.3">
      <c r="A108" s="39">
        <v>44530</v>
      </c>
      <c r="B108" s="14">
        <f t="shared" si="9"/>
        <v>345884</v>
      </c>
      <c r="C108" s="14">
        <f t="shared" si="10"/>
        <v>324558</v>
      </c>
      <c r="D108" s="19">
        <v>129584</v>
      </c>
      <c r="E108" s="19">
        <v>42805</v>
      </c>
      <c r="F108" s="19">
        <v>114752</v>
      </c>
      <c r="G108" s="19">
        <v>15139</v>
      </c>
      <c r="H108" s="19">
        <v>22278</v>
      </c>
      <c r="I108" s="15">
        <f t="shared" si="11"/>
        <v>21326</v>
      </c>
      <c r="J108" s="19">
        <v>6295</v>
      </c>
      <c r="K108" s="19">
        <v>15031</v>
      </c>
      <c r="L108" s="1"/>
    </row>
    <row r="109" spans="1:12" x14ac:dyDescent="0.3">
      <c r="A109" s="39">
        <v>44561</v>
      </c>
      <c r="B109" s="14">
        <f t="shared" si="9"/>
        <v>347959</v>
      </c>
      <c r="C109" s="14">
        <f t="shared" si="10"/>
        <v>327128</v>
      </c>
      <c r="D109" s="19">
        <v>129555</v>
      </c>
      <c r="E109" s="19">
        <v>42638</v>
      </c>
      <c r="F109" s="19">
        <v>114720</v>
      </c>
      <c r="G109" s="19">
        <v>15625</v>
      </c>
      <c r="H109" s="19">
        <v>24590</v>
      </c>
      <c r="I109" s="15">
        <f t="shared" si="11"/>
        <v>20831</v>
      </c>
      <c r="J109" s="19">
        <v>6349</v>
      </c>
      <c r="K109" s="19">
        <v>14482</v>
      </c>
      <c r="L109" s="1"/>
    </row>
    <row r="110" spans="1:12" x14ac:dyDescent="0.3">
      <c r="B110" s="6"/>
      <c r="C110" s="6"/>
      <c r="I110" s="3"/>
    </row>
    <row r="111" spans="1:12" x14ac:dyDescent="0.3">
      <c r="B111" s="6"/>
      <c r="C111" s="6"/>
      <c r="I111" s="3"/>
    </row>
    <row r="112" spans="1:12" x14ac:dyDescent="0.3">
      <c r="B112" s="6"/>
      <c r="C112" s="6"/>
      <c r="I112" s="3"/>
    </row>
    <row r="113" spans="2:9" x14ac:dyDescent="0.3">
      <c r="B113" s="6"/>
      <c r="C113" s="6"/>
      <c r="I113" s="3"/>
    </row>
    <row r="114" spans="2:9" x14ac:dyDescent="0.3">
      <c r="B114" s="6"/>
      <c r="C114" s="6"/>
      <c r="I114" s="3"/>
    </row>
    <row r="115" spans="2:9" x14ac:dyDescent="0.3">
      <c r="B115" s="6"/>
      <c r="C115" s="6"/>
      <c r="I115" s="3"/>
    </row>
    <row r="116" spans="2:9" x14ac:dyDescent="0.3">
      <c r="B116" s="6"/>
      <c r="C116" s="6"/>
      <c r="I116" s="3"/>
    </row>
    <row r="117" spans="2:9" x14ac:dyDescent="0.3">
      <c r="B117" s="6"/>
      <c r="C117" s="6"/>
      <c r="I117" s="3"/>
    </row>
    <row r="118" spans="2:9" x14ac:dyDescent="0.3">
      <c r="B118" s="6"/>
      <c r="C118" s="6"/>
      <c r="I118" s="3"/>
    </row>
    <row r="119" spans="2:9" x14ac:dyDescent="0.3">
      <c r="B119" s="6"/>
      <c r="C119" s="6"/>
      <c r="I119" s="3"/>
    </row>
    <row r="120" spans="2:9" x14ac:dyDescent="0.3">
      <c r="B120" s="6"/>
      <c r="C120" s="6"/>
      <c r="I120" s="3"/>
    </row>
    <row r="121" spans="2:9" x14ac:dyDescent="0.3">
      <c r="B121" s="6"/>
      <c r="C121" s="6"/>
      <c r="I121" s="3"/>
    </row>
    <row r="122" spans="2:9" x14ac:dyDescent="0.3">
      <c r="B122" s="6"/>
      <c r="C122" s="6"/>
      <c r="I122" s="3"/>
    </row>
    <row r="123" spans="2:9" x14ac:dyDescent="0.3">
      <c r="B123" s="6"/>
      <c r="C123" s="6"/>
      <c r="I123" s="3"/>
    </row>
    <row r="124" spans="2:9" x14ac:dyDescent="0.3">
      <c r="B124" s="6"/>
      <c r="C124" s="6"/>
      <c r="I124" s="3"/>
    </row>
    <row r="125" spans="2:9" x14ac:dyDescent="0.3">
      <c r="B125" s="6"/>
      <c r="C125" s="6"/>
      <c r="I125" s="3"/>
    </row>
    <row r="126" spans="2:9" x14ac:dyDescent="0.3">
      <c r="B126" s="6"/>
      <c r="C126" s="6"/>
      <c r="I126" s="3"/>
    </row>
    <row r="127" spans="2:9" x14ac:dyDescent="0.3">
      <c r="B127" s="6"/>
      <c r="C127" s="6"/>
      <c r="I127" s="3"/>
    </row>
    <row r="128" spans="2:9" x14ac:dyDescent="0.3">
      <c r="B128" s="6"/>
      <c r="C128" s="6"/>
      <c r="I128" s="3"/>
    </row>
    <row r="129" spans="2:9" x14ac:dyDescent="0.3">
      <c r="B129" s="6"/>
      <c r="C129" s="6"/>
      <c r="I129" s="3"/>
    </row>
    <row r="130" spans="2:9" x14ac:dyDescent="0.3">
      <c r="B130" s="6"/>
      <c r="C130" s="6"/>
      <c r="I130" s="3"/>
    </row>
    <row r="131" spans="2:9" x14ac:dyDescent="0.3">
      <c r="B131" s="6"/>
      <c r="C131" s="6"/>
      <c r="I131" s="3"/>
    </row>
    <row r="132" spans="2:9" x14ac:dyDescent="0.3">
      <c r="B132" s="6"/>
      <c r="C132" s="6"/>
      <c r="I132" s="3"/>
    </row>
    <row r="133" spans="2:9" x14ac:dyDescent="0.3">
      <c r="B133" s="6"/>
      <c r="C133" s="6"/>
      <c r="I133" s="3"/>
    </row>
    <row r="134" spans="2:9" x14ac:dyDescent="0.3">
      <c r="B134" s="6"/>
      <c r="C134" s="6"/>
      <c r="I134" s="3"/>
    </row>
    <row r="135" spans="2:9" x14ac:dyDescent="0.3">
      <c r="B135" s="6"/>
      <c r="C135" s="6"/>
      <c r="I135" s="3"/>
    </row>
    <row r="136" spans="2:9" x14ac:dyDescent="0.3">
      <c r="B136" s="6"/>
      <c r="C136" s="6"/>
      <c r="I136" s="3"/>
    </row>
    <row r="137" spans="2:9" x14ac:dyDescent="0.3">
      <c r="B137" s="6"/>
      <c r="C137" s="6"/>
      <c r="I137" s="3"/>
    </row>
    <row r="138" spans="2:9" x14ac:dyDescent="0.3">
      <c r="B138" s="6"/>
      <c r="C138" s="6"/>
      <c r="I138" s="3"/>
    </row>
    <row r="139" spans="2:9" x14ac:dyDescent="0.3">
      <c r="B139" s="6"/>
      <c r="C139" s="6"/>
      <c r="I139" s="3"/>
    </row>
    <row r="140" spans="2:9" x14ac:dyDescent="0.3">
      <c r="B140" s="6"/>
      <c r="C140" s="6"/>
      <c r="I140" s="3"/>
    </row>
    <row r="141" spans="2:9" x14ac:dyDescent="0.3">
      <c r="B141" s="6"/>
      <c r="C141" s="6"/>
      <c r="I141" s="3"/>
    </row>
    <row r="142" spans="2:9" x14ac:dyDescent="0.3">
      <c r="B142" s="6"/>
      <c r="C142" s="6"/>
      <c r="I142" s="3"/>
    </row>
    <row r="143" spans="2:9" x14ac:dyDescent="0.3">
      <c r="B143" s="6"/>
      <c r="C143" s="6"/>
      <c r="I143" s="3"/>
    </row>
    <row r="144" spans="2:9" x14ac:dyDescent="0.3">
      <c r="B144" s="6"/>
      <c r="C144" s="6"/>
      <c r="I144" s="3"/>
    </row>
    <row r="145" spans="2:9" x14ac:dyDescent="0.3">
      <c r="B145" s="6"/>
      <c r="C145" s="6"/>
      <c r="I145" s="3"/>
    </row>
    <row r="146" spans="2:9" x14ac:dyDescent="0.3">
      <c r="B146" s="6"/>
      <c r="C146" s="6"/>
      <c r="I146" s="3"/>
    </row>
    <row r="147" spans="2:9" x14ac:dyDescent="0.3">
      <c r="B147" s="6"/>
      <c r="C147" s="6"/>
      <c r="I147" s="3"/>
    </row>
    <row r="148" spans="2:9" x14ac:dyDescent="0.3">
      <c r="B148" s="6"/>
      <c r="C148" s="6"/>
      <c r="I148" s="3"/>
    </row>
    <row r="149" spans="2:9" x14ac:dyDescent="0.3">
      <c r="B149" s="6"/>
      <c r="C149" s="6"/>
      <c r="I149" s="3"/>
    </row>
    <row r="150" spans="2:9" x14ac:dyDescent="0.3">
      <c r="B150" s="6"/>
      <c r="C150" s="6"/>
      <c r="I150" s="3"/>
    </row>
    <row r="151" spans="2:9" x14ac:dyDescent="0.3">
      <c r="B151" s="6"/>
      <c r="C151" s="6"/>
      <c r="I151" s="3"/>
    </row>
    <row r="152" spans="2:9" x14ac:dyDescent="0.3">
      <c r="B152" s="6"/>
      <c r="C152" s="6"/>
      <c r="I152" s="3"/>
    </row>
    <row r="153" spans="2:9" x14ac:dyDescent="0.3">
      <c r="B153" s="6"/>
      <c r="C153" s="6"/>
      <c r="I153" s="3"/>
    </row>
    <row r="154" spans="2:9" x14ac:dyDescent="0.3">
      <c r="B154" s="6"/>
      <c r="C154" s="6"/>
      <c r="I154" s="3"/>
    </row>
    <row r="155" spans="2:9" x14ac:dyDescent="0.3">
      <c r="B155" s="6"/>
      <c r="C155" s="6"/>
      <c r="I155" s="3"/>
    </row>
    <row r="156" spans="2:9" x14ac:dyDescent="0.3">
      <c r="B156" s="6"/>
      <c r="C156" s="6"/>
      <c r="I156" s="3"/>
    </row>
    <row r="157" spans="2:9" x14ac:dyDescent="0.3">
      <c r="B157" s="6"/>
      <c r="C157" s="6"/>
      <c r="I157" s="3"/>
    </row>
    <row r="158" spans="2:9" x14ac:dyDescent="0.3">
      <c r="B158" s="6"/>
      <c r="C158" s="6"/>
      <c r="I158" s="3"/>
    </row>
    <row r="159" spans="2:9" x14ac:dyDescent="0.3">
      <c r="B159" s="6"/>
      <c r="C159" s="6"/>
      <c r="I159" s="3"/>
    </row>
    <row r="160" spans="2:9" x14ac:dyDescent="0.3">
      <c r="B160" s="6"/>
      <c r="C160" s="6"/>
      <c r="I160" s="3"/>
    </row>
    <row r="161" spans="2:9" x14ac:dyDescent="0.3">
      <c r="B161" s="6"/>
      <c r="C161" s="6"/>
      <c r="I161" s="3"/>
    </row>
    <row r="162" spans="2:9" x14ac:dyDescent="0.3">
      <c r="B162" s="6"/>
      <c r="C162" s="6"/>
      <c r="I162" s="3"/>
    </row>
    <row r="163" spans="2:9" x14ac:dyDescent="0.3">
      <c r="B163" s="6"/>
      <c r="C163" s="6"/>
      <c r="I163" s="3"/>
    </row>
    <row r="164" spans="2:9" x14ac:dyDescent="0.3">
      <c r="B164" s="6"/>
      <c r="C164" s="6"/>
      <c r="I164" s="3"/>
    </row>
    <row r="165" spans="2:9" x14ac:dyDescent="0.3">
      <c r="B165" s="6"/>
      <c r="C165" s="6"/>
      <c r="I165" s="3"/>
    </row>
    <row r="166" spans="2:9" x14ac:dyDescent="0.3">
      <c r="B166" s="6"/>
      <c r="C166" s="6"/>
      <c r="I166" s="3"/>
    </row>
    <row r="167" spans="2:9" x14ac:dyDescent="0.3">
      <c r="B167" s="6"/>
      <c r="C167" s="6"/>
      <c r="I167" s="3"/>
    </row>
    <row r="168" spans="2:9" x14ac:dyDescent="0.3">
      <c r="B168" s="6"/>
      <c r="C168" s="6"/>
      <c r="I168" s="3"/>
    </row>
    <row r="169" spans="2:9" x14ac:dyDescent="0.3">
      <c r="B169" s="6"/>
      <c r="C169" s="6"/>
      <c r="I169" s="3"/>
    </row>
    <row r="170" spans="2:9" x14ac:dyDescent="0.3">
      <c r="B170" s="6"/>
      <c r="C170" s="6"/>
      <c r="I170" s="3"/>
    </row>
    <row r="171" spans="2:9" x14ac:dyDescent="0.3">
      <c r="B171" s="6"/>
      <c r="C171" s="6"/>
      <c r="I171" s="3"/>
    </row>
    <row r="172" spans="2:9" x14ac:dyDescent="0.3">
      <c r="B172" s="6"/>
      <c r="C172" s="6"/>
      <c r="I172" s="3"/>
    </row>
    <row r="173" spans="2:9" x14ac:dyDescent="0.3">
      <c r="B173" s="6"/>
      <c r="C173" s="6"/>
      <c r="I173" s="3"/>
    </row>
    <row r="174" spans="2:9" x14ac:dyDescent="0.3">
      <c r="B174" s="6"/>
      <c r="C174" s="6"/>
      <c r="I174" s="3"/>
    </row>
    <row r="175" spans="2:9" x14ac:dyDescent="0.3">
      <c r="B175" s="6"/>
      <c r="C175" s="6"/>
      <c r="I175" s="3"/>
    </row>
    <row r="176" spans="2:9" x14ac:dyDescent="0.3">
      <c r="B176" s="6"/>
      <c r="C176" s="6"/>
      <c r="I176" s="3"/>
    </row>
    <row r="177" spans="2:9" x14ac:dyDescent="0.3">
      <c r="B177" s="6"/>
      <c r="C177" s="6"/>
      <c r="I177" s="3"/>
    </row>
    <row r="178" spans="2:9" x14ac:dyDescent="0.3">
      <c r="B178" s="6"/>
      <c r="C178" s="6"/>
      <c r="I178" s="3"/>
    </row>
    <row r="179" spans="2:9" x14ac:dyDescent="0.3">
      <c r="B179" s="6"/>
      <c r="C179" s="6"/>
      <c r="I179" s="3"/>
    </row>
    <row r="180" spans="2:9" x14ac:dyDescent="0.3">
      <c r="B180" s="6"/>
      <c r="C180" s="6"/>
      <c r="I180" s="3"/>
    </row>
    <row r="181" spans="2:9" x14ac:dyDescent="0.3">
      <c r="B181" s="6"/>
      <c r="C181" s="6"/>
      <c r="I181" s="3"/>
    </row>
    <row r="182" spans="2:9" x14ac:dyDescent="0.3">
      <c r="B182" s="6"/>
      <c r="C182" s="6"/>
      <c r="I182" s="3"/>
    </row>
    <row r="183" spans="2:9" x14ac:dyDescent="0.3">
      <c r="B183" s="6"/>
      <c r="C183" s="6"/>
      <c r="I183" s="3"/>
    </row>
    <row r="184" spans="2:9" x14ac:dyDescent="0.3">
      <c r="B184" s="6"/>
      <c r="C184" s="6"/>
      <c r="I184" s="3"/>
    </row>
    <row r="185" spans="2:9" x14ac:dyDescent="0.3">
      <c r="B185" s="6"/>
      <c r="C185" s="6"/>
      <c r="I185" s="3"/>
    </row>
    <row r="186" spans="2:9" x14ac:dyDescent="0.3">
      <c r="B186" s="6"/>
      <c r="C186" s="6"/>
      <c r="I186" s="3"/>
    </row>
    <row r="187" spans="2:9" x14ac:dyDescent="0.3">
      <c r="B187" s="6"/>
      <c r="C187" s="6"/>
      <c r="I187" s="3"/>
    </row>
    <row r="188" spans="2:9" x14ac:dyDescent="0.3">
      <c r="B188" s="6"/>
      <c r="C188" s="6"/>
      <c r="I188" s="3"/>
    </row>
    <row r="189" spans="2:9" x14ac:dyDescent="0.3">
      <c r="B189" s="6"/>
      <c r="C189" s="6"/>
      <c r="I189" s="3"/>
    </row>
    <row r="190" spans="2:9" x14ac:dyDescent="0.3">
      <c r="B190" s="6"/>
      <c r="C190" s="6"/>
      <c r="I190" s="3"/>
    </row>
    <row r="191" spans="2:9" x14ac:dyDescent="0.3">
      <c r="B191" s="6"/>
      <c r="C191" s="6"/>
      <c r="I191" s="3"/>
    </row>
    <row r="192" spans="2:9" x14ac:dyDescent="0.3">
      <c r="B192" s="6"/>
      <c r="C192" s="6"/>
      <c r="I192" s="3"/>
    </row>
    <row r="193" spans="2:9" x14ac:dyDescent="0.3">
      <c r="B193" s="6"/>
      <c r="C193" s="6"/>
      <c r="I193" s="3"/>
    </row>
    <row r="194" spans="2:9" x14ac:dyDescent="0.3">
      <c r="B194" s="6"/>
      <c r="C194" s="6"/>
      <c r="I194" s="3"/>
    </row>
    <row r="195" spans="2:9" x14ac:dyDescent="0.3">
      <c r="B195" s="6"/>
      <c r="C195" s="6"/>
      <c r="I195" s="3"/>
    </row>
    <row r="196" spans="2:9" x14ac:dyDescent="0.3">
      <c r="B196" s="6"/>
      <c r="C196" s="6"/>
      <c r="I196" s="3"/>
    </row>
    <row r="197" spans="2:9" x14ac:dyDescent="0.3">
      <c r="B197" s="6"/>
      <c r="C197" s="6"/>
      <c r="I197" s="3"/>
    </row>
    <row r="198" spans="2:9" x14ac:dyDescent="0.3">
      <c r="B198" s="6"/>
      <c r="C198" s="6"/>
      <c r="I198" s="3"/>
    </row>
    <row r="199" spans="2:9" x14ac:dyDescent="0.3">
      <c r="B199" s="6"/>
      <c r="C199" s="6"/>
      <c r="I199" s="3"/>
    </row>
    <row r="200" spans="2:9" x14ac:dyDescent="0.3">
      <c r="B200" s="6"/>
      <c r="C200" s="6"/>
      <c r="I200" s="3"/>
    </row>
    <row r="201" spans="2:9" x14ac:dyDescent="0.3">
      <c r="B201" s="6"/>
      <c r="C201" s="6"/>
      <c r="I201" s="3"/>
    </row>
    <row r="202" spans="2:9" x14ac:dyDescent="0.3">
      <c r="B202" s="6"/>
      <c r="C202" s="6"/>
      <c r="I202" s="3"/>
    </row>
    <row r="203" spans="2:9" x14ac:dyDescent="0.3">
      <c r="B203" s="6"/>
      <c r="C203" s="6"/>
      <c r="I203" s="3"/>
    </row>
    <row r="204" spans="2:9" x14ac:dyDescent="0.3">
      <c r="B204" s="6"/>
      <c r="C204" s="6"/>
      <c r="I204" s="3"/>
    </row>
    <row r="205" spans="2:9" x14ac:dyDescent="0.3">
      <c r="B205" s="6"/>
      <c r="C205" s="6"/>
      <c r="I205" s="3"/>
    </row>
    <row r="206" spans="2:9" x14ac:dyDescent="0.3">
      <c r="B206" s="6"/>
      <c r="C206" s="6"/>
      <c r="I206" s="3"/>
    </row>
    <row r="207" spans="2:9" x14ac:dyDescent="0.3">
      <c r="B207" s="6"/>
      <c r="C207" s="6"/>
      <c r="I207" s="3"/>
    </row>
    <row r="208" spans="2:9" x14ac:dyDescent="0.3">
      <c r="B208" s="6"/>
      <c r="C208" s="6"/>
      <c r="I208" s="3"/>
    </row>
    <row r="209" spans="2:9" x14ac:dyDescent="0.3">
      <c r="B209" s="6"/>
      <c r="C209" s="6"/>
      <c r="I209" s="3"/>
    </row>
    <row r="210" spans="2:9" x14ac:dyDescent="0.3">
      <c r="B210" s="6"/>
      <c r="C210" s="6"/>
      <c r="I210" s="3"/>
    </row>
    <row r="211" spans="2:9" x14ac:dyDescent="0.3">
      <c r="B211" s="6"/>
      <c r="C211" s="6"/>
      <c r="I211" s="3"/>
    </row>
    <row r="212" spans="2:9" x14ac:dyDescent="0.3">
      <c r="B212" s="6"/>
      <c r="C212" s="6"/>
      <c r="I212" s="3"/>
    </row>
    <row r="213" spans="2:9" x14ac:dyDescent="0.3">
      <c r="B213" s="6"/>
      <c r="C213" s="6"/>
      <c r="I213" s="3"/>
    </row>
    <row r="214" spans="2:9" x14ac:dyDescent="0.3">
      <c r="B214" s="6"/>
      <c r="C214" s="6"/>
      <c r="I214" s="3"/>
    </row>
    <row r="215" spans="2:9" x14ac:dyDescent="0.3">
      <c r="B215" s="6"/>
      <c r="C215" s="6"/>
      <c r="I215" s="3"/>
    </row>
    <row r="216" spans="2:9" x14ac:dyDescent="0.3">
      <c r="B216" s="6"/>
      <c r="C216" s="6"/>
      <c r="I216" s="3"/>
    </row>
    <row r="217" spans="2:9" x14ac:dyDescent="0.3">
      <c r="B217" s="6"/>
      <c r="C217" s="6"/>
      <c r="I217" s="3"/>
    </row>
    <row r="218" spans="2:9" x14ac:dyDescent="0.3">
      <c r="B218" s="6"/>
      <c r="C218" s="6"/>
      <c r="I218" s="3"/>
    </row>
    <row r="219" spans="2:9" x14ac:dyDescent="0.3">
      <c r="B219" s="6"/>
      <c r="C219" s="6"/>
      <c r="I219" s="3"/>
    </row>
    <row r="220" spans="2:9" x14ac:dyDescent="0.3">
      <c r="B220" s="6"/>
      <c r="C220" s="6"/>
      <c r="I220" s="3"/>
    </row>
    <row r="221" spans="2:9" x14ac:dyDescent="0.3">
      <c r="B221" s="6"/>
      <c r="C221" s="6"/>
      <c r="I221" s="3"/>
    </row>
    <row r="222" spans="2:9" x14ac:dyDescent="0.3">
      <c r="B222" s="6"/>
      <c r="C222" s="6"/>
      <c r="I222" s="3"/>
    </row>
    <row r="223" spans="2:9" x14ac:dyDescent="0.3">
      <c r="B223" s="6"/>
      <c r="C223" s="6"/>
      <c r="I223" s="3"/>
    </row>
    <row r="224" spans="2:9" x14ac:dyDescent="0.3">
      <c r="B224" s="6"/>
      <c r="C224" s="6"/>
      <c r="I224" s="3"/>
    </row>
    <row r="225" spans="2:9" x14ac:dyDescent="0.3">
      <c r="B225" s="6"/>
      <c r="C225" s="6"/>
      <c r="I225" s="3"/>
    </row>
    <row r="226" spans="2:9" x14ac:dyDescent="0.3">
      <c r="B226" s="6"/>
      <c r="C226" s="6"/>
      <c r="I226" s="3"/>
    </row>
    <row r="227" spans="2:9" x14ac:dyDescent="0.3">
      <c r="B227" s="6"/>
      <c r="C227" s="6"/>
      <c r="I227" s="3"/>
    </row>
    <row r="228" spans="2:9" x14ac:dyDescent="0.3">
      <c r="B228" s="6"/>
      <c r="C228" s="6"/>
      <c r="I228" s="3"/>
    </row>
    <row r="229" spans="2:9" x14ac:dyDescent="0.3">
      <c r="B229" s="6"/>
      <c r="C229" s="6"/>
      <c r="I229" s="3"/>
    </row>
    <row r="230" spans="2:9" x14ac:dyDescent="0.3">
      <c r="B230" s="6"/>
      <c r="C230" s="6"/>
      <c r="I230" s="3"/>
    </row>
    <row r="231" spans="2:9" x14ac:dyDescent="0.3">
      <c r="B231" s="6"/>
      <c r="C231" s="6"/>
      <c r="I231" s="3"/>
    </row>
    <row r="232" spans="2:9" x14ac:dyDescent="0.3">
      <c r="B232" s="6"/>
      <c r="C232" s="6"/>
      <c r="I232" s="3"/>
    </row>
    <row r="233" spans="2:9" x14ac:dyDescent="0.3">
      <c r="B233" s="6"/>
      <c r="C233" s="6"/>
      <c r="I233" s="3"/>
    </row>
    <row r="234" spans="2:9" x14ac:dyDescent="0.3">
      <c r="B234" s="6"/>
      <c r="C234" s="6"/>
      <c r="I234" s="3"/>
    </row>
    <row r="235" spans="2:9" x14ac:dyDescent="0.3">
      <c r="B235" s="6"/>
      <c r="C235" s="6"/>
      <c r="I235" s="3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9980E-38AC-462C-8D60-3E95D2B78B8D}">
  <dimension ref="A1:AE109"/>
  <sheetViews>
    <sheetView zoomScale="72" zoomScaleNormal="72" workbookViewId="0">
      <selection activeCell="B1" sqref="B1"/>
    </sheetView>
  </sheetViews>
  <sheetFormatPr defaultRowHeight="14.4" x14ac:dyDescent="0.3"/>
  <cols>
    <col min="1" max="1" width="10.5546875" style="38" bestFit="1" customWidth="1"/>
    <col min="2" max="2" width="14.5546875" bestFit="1" customWidth="1"/>
    <col min="3" max="3" width="14.5546875" customWidth="1"/>
    <col min="4" max="4" width="17.33203125" bestFit="1" customWidth="1"/>
    <col min="5" max="5" width="16.21875" bestFit="1" customWidth="1"/>
    <col min="6" max="6" width="14.88671875" bestFit="1" customWidth="1"/>
    <col min="7" max="7" width="16.21875" bestFit="1" customWidth="1"/>
    <col min="8" max="8" width="15.109375" bestFit="1" customWidth="1"/>
    <col min="9" max="9" width="18.44140625" bestFit="1" customWidth="1"/>
    <col min="10" max="10" width="23.109375" bestFit="1" customWidth="1"/>
    <col min="11" max="11" width="19.77734375" bestFit="1" customWidth="1"/>
    <col min="12" max="12" width="22.109375" bestFit="1" customWidth="1"/>
    <col min="13" max="13" width="21.77734375" bestFit="1" customWidth="1"/>
    <col min="31" max="31" width="15.5546875" bestFit="1" customWidth="1"/>
  </cols>
  <sheetData>
    <row r="1" spans="1:31" s="48" customFormat="1" ht="15.6" x14ac:dyDescent="0.3">
      <c r="A1" s="46" t="s">
        <v>57</v>
      </c>
      <c r="B1" s="47" t="s">
        <v>10</v>
      </c>
      <c r="C1" s="47" t="s">
        <v>11</v>
      </c>
      <c r="D1" s="47" t="s">
        <v>12</v>
      </c>
      <c r="E1" s="47" t="s">
        <v>13</v>
      </c>
      <c r="F1" s="47" t="s">
        <v>14</v>
      </c>
      <c r="G1" s="47" t="s">
        <v>15</v>
      </c>
      <c r="H1" s="47" t="s">
        <v>16</v>
      </c>
      <c r="I1" s="47" t="s">
        <v>17</v>
      </c>
      <c r="J1" s="47" t="s">
        <v>18</v>
      </c>
      <c r="K1" s="47" t="s">
        <v>19</v>
      </c>
      <c r="L1" s="47" t="s">
        <v>20</v>
      </c>
      <c r="M1" s="47" t="s">
        <v>21</v>
      </c>
      <c r="N1" s="47" t="s">
        <v>22</v>
      </c>
      <c r="O1" s="47" t="s">
        <v>23</v>
      </c>
      <c r="P1" s="47" t="s">
        <v>24</v>
      </c>
      <c r="Q1" s="47" t="s">
        <v>25</v>
      </c>
      <c r="R1" s="47" t="s">
        <v>26</v>
      </c>
      <c r="S1" s="47" t="s">
        <v>27</v>
      </c>
      <c r="T1" s="47" t="s">
        <v>28</v>
      </c>
      <c r="U1" s="47" t="s">
        <v>29</v>
      </c>
      <c r="V1" s="47" t="s">
        <v>30</v>
      </c>
      <c r="W1" s="47" t="s">
        <v>31</v>
      </c>
      <c r="X1" s="47" t="s">
        <v>32</v>
      </c>
      <c r="Y1" s="47" t="s">
        <v>33</v>
      </c>
      <c r="Z1" s="47" t="s">
        <v>34</v>
      </c>
      <c r="AA1" s="47" t="s">
        <v>35</v>
      </c>
      <c r="AB1" s="47" t="s">
        <v>36</v>
      </c>
      <c r="AC1" s="47" t="s">
        <v>37</v>
      </c>
      <c r="AD1" s="47" t="s">
        <v>38</v>
      </c>
      <c r="AE1" s="47" t="s">
        <v>39</v>
      </c>
    </row>
    <row r="2" spans="1:31" x14ac:dyDescent="0.3">
      <c r="A2" s="37">
        <v>41305</v>
      </c>
      <c r="B2" s="28">
        <f t="shared" ref="B2:B26" si="0">C2+D2+T2+AE2</f>
        <v>645973</v>
      </c>
      <c r="C2" s="29">
        <v>20543</v>
      </c>
      <c r="D2" s="30">
        <f t="shared" ref="D2:D33" si="1">SUM(E2:S2)</f>
        <v>218963</v>
      </c>
      <c r="E2" s="31">
        <v>2644</v>
      </c>
      <c r="F2" s="31">
        <v>15721</v>
      </c>
      <c r="G2" s="31">
        <v>9907</v>
      </c>
      <c r="H2" s="31">
        <v>23826</v>
      </c>
      <c r="I2" s="31">
        <v>5415</v>
      </c>
      <c r="J2" s="31">
        <v>5813</v>
      </c>
      <c r="K2" s="31">
        <v>4110</v>
      </c>
      <c r="L2" s="31">
        <v>5234</v>
      </c>
      <c r="M2" s="31">
        <v>6816</v>
      </c>
      <c r="N2" s="31">
        <v>11122</v>
      </c>
      <c r="O2" s="31">
        <v>6873</v>
      </c>
      <c r="P2" s="31">
        <v>5405</v>
      </c>
      <c r="Q2" s="31">
        <v>12499</v>
      </c>
      <c r="R2" s="31">
        <v>2485</v>
      </c>
      <c r="S2" s="31">
        <v>101093</v>
      </c>
      <c r="T2" s="30">
        <f t="shared" ref="T2:T31" si="2">SUM(U2:AD2)</f>
        <v>400891</v>
      </c>
      <c r="U2" s="31">
        <v>12526</v>
      </c>
      <c r="V2" s="31">
        <v>82441</v>
      </c>
      <c r="W2" s="31">
        <v>13861</v>
      </c>
      <c r="X2" s="31">
        <v>58681</v>
      </c>
      <c r="Y2" s="31">
        <v>8919</v>
      </c>
      <c r="Z2" s="31">
        <v>4599</v>
      </c>
      <c r="AA2" s="31">
        <v>108204</v>
      </c>
      <c r="AB2" s="31">
        <v>15042</v>
      </c>
      <c r="AC2" s="31">
        <v>57184</v>
      </c>
      <c r="AD2" s="31">
        <v>39434</v>
      </c>
      <c r="AE2" s="31">
        <v>5576</v>
      </c>
    </row>
    <row r="3" spans="1:31" x14ac:dyDescent="0.3">
      <c r="A3" s="37">
        <v>41333</v>
      </c>
      <c r="B3" s="28">
        <f t="shared" si="0"/>
        <v>645384</v>
      </c>
      <c r="C3" s="29">
        <v>21332</v>
      </c>
      <c r="D3" s="30">
        <f t="shared" si="1"/>
        <v>218618</v>
      </c>
      <c r="E3" s="31">
        <v>2702</v>
      </c>
      <c r="F3" s="31">
        <v>15598</v>
      </c>
      <c r="G3" s="31">
        <v>9828</v>
      </c>
      <c r="H3" s="31">
        <v>23449</v>
      </c>
      <c r="I3" s="31">
        <v>5303</v>
      </c>
      <c r="J3" s="31">
        <v>5804</v>
      </c>
      <c r="K3" s="31">
        <v>4147</v>
      </c>
      <c r="L3" s="31">
        <v>5182</v>
      </c>
      <c r="M3" s="31">
        <v>6741</v>
      </c>
      <c r="N3" s="31">
        <v>10908</v>
      </c>
      <c r="O3" s="31">
        <v>6743</v>
      </c>
      <c r="P3" s="31">
        <v>5289</v>
      </c>
      <c r="Q3" s="31">
        <v>12560</v>
      </c>
      <c r="R3" s="31">
        <v>2503</v>
      </c>
      <c r="S3" s="31">
        <v>101861</v>
      </c>
      <c r="T3" s="30">
        <f t="shared" si="2"/>
        <v>399746</v>
      </c>
      <c r="U3" s="31">
        <v>12426</v>
      </c>
      <c r="V3" s="31">
        <v>82806</v>
      </c>
      <c r="W3" s="31">
        <v>13714</v>
      </c>
      <c r="X3" s="31">
        <v>58946</v>
      </c>
      <c r="Y3" s="31">
        <v>8805</v>
      </c>
      <c r="Z3" s="31">
        <v>4576</v>
      </c>
      <c r="AA3" s="31">
        <v>108001</v>
      </c>
      <c r="AB3" s="31">
        <v>14957</v>
      </c>
      <c r="AC3" s="31">
        <v>55815</v>
      </c>
      <c r="AD3" s="31">
        <v>39700</v>
      </c>
      <c r="AE3" s="31">
        <v>5688</v>
      </c>
    </row>
    <row r="4" spans="1:31" x14ac:dyDescent="0.3">
      <c r="A4" s="37">
        <v>41364</v>
      </c>
      <c r="B4" s="28">
        <f t="shared" si="0"/>
        <v>640078</v>
      </c>
      <c r="C4" s="29">
        <v>21686</v>
      </c>
      <c r="D4" s="30">
        <f t="shared" si="1"/>
        <v>216674</v>
      </c>
      <c r="E4" s="31">
        <v>2730</v>
      </c>
      <c r="F4" s="31">
        <v>15387</v>
      </c>
      <c r="G4" s="31">
        <v>9541</v>
      </c>
      <c r="H4" s="31">
        <v>23137</v>
      </c>
      <c r="I4" s="31">
        <v>5289</v>
      </c>
      <c r="J4" s="31">
        <v>5853</v>
      </c>
      <c r="K4" s="31">
        <v>4008</v>
      </c>
      <c r="L4" s="31">
        <v>5138</v>
      </c>
      <c r="M4" s="31">
        <v>6744</v>
      </c>
      <c r="N4" s="31">
        <v>10757</v>
      </c>
      <c r="O4" s="31">
        <v>6622</v>
      </c>
      <c r="P4" s="31">
        <v>4984</v>
      </c>
      <c r="Q4" s="31">
        <v>12601</v>
      </c>
      <c r="R4" s="31">
        <v>2517</v>
      </c>
      <c r="S4" s="31">
        <v>101366</v>
      </c>
      <c r="T4" s="30">
        <f t="shared" si="2"/>
        <v>395949</v>
      </c>
      <c r="U4" s="31">
        <v>12296</v>
      </c>
      <c r="V4" s="31">
        <v>82513</v>
      </c>
      <c r="W4" s="31">
        <v>13513</v>
      </c>
      <c r="X4" s="31">
        <v>57458</v>
      </c>
      <c r="Y4" s="31">
        <v>8685</v>
      </c>
      <c r="Z4" s="31">
        <v>4561</v>
      </c>
      <c r="AA4" s="31">
        <v>108430</v>
      </c>
      <c r="AB4" s="31">
        <v>14730</v>
      </c>
      <c r="AC4" s="31">
        <v>54236</v>
      </c>
      <c r="AD4" s="31">
        <v>39527</v>
      </c>
      <c r="AE4" s="31">
        <v>5769</v>
      </c>
    </row>
    <row r="5" spans="1:31" x14ac:dyDescent="0.3">
      <c r="A5" s="37">
        <v>41394</v>
      </c>
      <c r="B5" s="28">
        <f t="shared" si="0"/>
        <v>634501</v>
      </c>
      <c r="C5" s="29">
        <v>20612</v>
      </c>
      <c r="D5" s="30">
        <f t="shared" si="1"/>
        <v>214183</v>
      </c>
      <c r="E5" s="31">
        <v>2790</v>
      </c>
      <c r="F5" s="31">
        <v>15410</v>
      </c>
      <c r="G5" s="31">
        <v>9372</v>
      </c>
      <c r="H5" s="31">
        <v>22936</v>
      </c>
      <c r="I5" s="31">
        <v>5177</v>
      </c>
      <c r="J5" s="31">
        <v>5886</v>
      </c>
      <c r="K5" s="31">
        <v>3956</v>
      </c>
      <c r="L5" s="31">
        <v>5088</v>
      </c>
      <c r="M5" s="31">
        <v>6789</v>
      </c>
      <c r="N5" s="31">
        <v>10684</v>
      </c>
      <c r="O5" s="31">
        <v>6554</v>
      </c>
      <c r="P5" s="31">
        <v>4956</v>
      </c>
      <c r="Q5" s="31">
        <v>12569</v>
      </c>
      <c r="R5" s="31">
        <v>2538</v>
      </c>
      <c r="S5" s="31">
        <v>99478</v>
      </c>
      <c r="T5" s="30">
        <f t="shared" si="2"/>
        <v>393404</v>
      </c>
      <c r="U5" s="31">
        <v>12320</v>
      </c>
      <c r="V5" s="31">
        <v>82972</v>
      </c>
      <c r="W5" s="31">
        <v>13505</v>
      </c>
      <c r="X5" s="31">
        <v>56496</v>
      </c>
      <c r="Y5" s="31">
        <v>8713</v>
      </c>
      <c r="Z5" s="31">
        <v>4573</v>
      </c>
      <c r="AA5" s="31">
        <v>107080</v>
      </c>
      <c r="AB5" s="31">
        <v>14766</v>
      </c>
      <c r="AC5" s="31">
        <v>53743</v>
      </c>
      <c r="AD5" s="31">
        <v>39236</v>
      </c>
      <c r="AE5" s="31">
        <v>6302</v>
      </c>
    </row>
    <row r="6" spans="1:31" x14ac:dyDescent="0.3">
      <c r="A6" s="37">
        <v>41425</v>
      </c>
      <c r="B6" s="28">
        <f t="shared" si="0"/>
        <v>612002</v>
      </c>
      <c r="C6" s="29">
        <v>19060</v>
      </c>
      <c r="D6" s="30">
        <f t="shared" si="1"/>
        <v>206793</v>
      </c>
      <c r="E6" s="31">
        <v>2662</v>
      </c>
      <c r="F6" s="31">
        <v>14962</v>
      </c>
      <c r="G6" s="31">
        <v>9018</v>
      </c>
      <c r="H6" s="31">
        <v>22243</v>
      </c>
      <c r="I6" s="31">
        <v>4930</v>
      </c>
      <c r="J6" s="31">
        <v>5729</v>
      </c>
      <c r="K6" s="31">
        <v>3817</v>
      </c>
      <c r="L6" s="31">
        <v>4945</v>
      </c>
      <c r="M6" s="31">
        <v>6766</v>
      </c>
      <c r="N6" s="31">
        <v>10468</v>
      </c>
      <c r="O6" s="31">
        <v>6245</v>
      </c>
      <c r="P6" s="31">
        <v>4750</v>
      </c>
      <c r="Q6" s="31">
        <v>12270</v>
      </c>
      <c r="R6" s="31">
        <v>2485</v>
      </c>
      <c r="S6" s="31">
        <v>95503</v>
      </c>
      <c r="T6" s="30">
        <f t="shared" si="2"/>
        <v>379574</v>
      </c>
      <c r="U6" s="31">
        <v>12012</v>
      </c>
      <c r="V6" s="31">
        <v>80663</v>
      </c>
      <c r="W6" s="31">
        <v>12757</v>
      </c>
      <c r="X6" s="31">
        <v>52769</v>
      </c>
      <c r="Y6" s="31">
        <v>8499</v>
      </c>
      <c r="Z6" s="31">
        <v>4431</v>
      </c>
      <c r="AA6" s="31">
        <v>104388</v>
      </c>
      <c r="AB6" s="31">
        <v>14398</v>
      </c>
      <c r="AC6" s="31">
        <v>51687</v>
      </c>
      <c r="AD6" s="31">
        <v>37970</v>
      </c>
      <c r="AE6" s="31">
        <v>6575</v>
      </c>
    </row>
    <row r="7" spans="1:31" x14ac:dyDescent="0.3">
      <c r="A7" s="37">
        <v>41455</v>
      </c>
      <c r="B7" s="28">
        <f t="shared" si="0"/>
        <v>600787</v>
      </c>
      <c r="C7" s="29">
        <v>18757</v>
      </c>
      <c r="D7" s="30">
        <f t="shared" si="1"/>
        <v>200712</v>
      </c>
      <c r="E7" s="31">
        <v>2571</v>
      </c>
      <c r="F7" s="31">
        <v>14475</v>
      </c>
      <c r="G7" s="31">
        <v>8731</v>
      </c>
      <c r="H7" s="31">
        <v>21715</v>
      </c>
      <c r="I7" s="31">
        <v>4767</v>
      </c>
      <c r="J7" s="31">
        <v>5578</v>
      </c>
      <c r="K7" s="31">
        <v>3763</v>
      </c>
      <c r="L7" s="31">
        <v>4843</v>
      </c>
      <c r="M7" s="31">
        <v>6688</v>
      </c>
      <c r="N7" s="31">
        <v>10195</v>
      </c>
      <c r="O7" s="31">
        <v>6140</v>
      </c>
      <c r="P7" s="31">
        <v>4590</v>
      </c>
      <c r="Q7" s="31">
        <v>12203</v>
      </c>
      <c r="R7" s="31">
        <v>2367</v>
      </c>
      <c r="S7" s="31">
        <v>92086</v>
      </c>
      <c r="T7" s="30">
        <f t="shared" si="2"/>
        <v>374120</v>
      </c>
      <c r="U7" s="31">
        <v>11859</v>
      </c>
      <c r="V7" s="31">
        <v>78373</v>
      </c>
      <c r="W7" s="31">
        <v>12366</v>
      </c>
      <c r="X7" s="31">
        <v>50978</v>
      </c>
      <c r="Y7" s="31">
        <v>8343</v>
      </c>
      <c r="Z7" s="31">
        <v>4326</v>
      </c>
      <c r="AA7" s="31">
        <v>103857</v>
      </c>
      <c r="AB7" s="31">
        <v>14093</v>
      </c>
      <c r="AC7" s="31">
        <v>52904</v>
      </c>
      <c r="AD7" s="31">
        <v>37021</v>
      </c>
      <c r="AE7" s="31">
        <v>7198</v>
      </c>
    </row>
    <row r="8" spans="1:31" x14ac:dyDescent="0.3">
      <c r="A8" s="37">
        <v>41486</v>
      </c>
      <c r="B8" s="28">
        <f t="shared" si="0"/>
        <v>598693</v>
      </c>
      <c r="C8" s="29">
        <v>19070</v>
      </c>
      <c r="D8" s="30">
        <f t="shared" si="1"/>
        <v>196346</v>
      </c>
      <c r="E8" s="31">
        <v>2526</v>
      </c>
      <c r="F8" s="31">
        <v>14327</v>
      </c>
      <c r="G8" s="31">
        <v>8621</v>
      </c>
      <c r="H8" s="31">
        <v>21328</v>
      </c>
      <c r="I8" s="31">
        <v>4582</v>
      </c>
      <c r="J8" s="31">
        <v>5400</v>
      </c>
      <c r="K8" s="31">
        <v>3721</v>
      </c>
      <c r="L8" s="31">
        <v>4803</v>
      </c>
      <c r="M8" s="31">
        <v>6592</v>
      </c>
      <c r="N8" s="31">
        <v>9981</v>
      </c>
      <c r="O8" s="31">
        <v>6089</v>
      </c>
      <c r="P8" s="31">
        <v>4506</v>
      </c>
      <c r="Q8" s="31">
        <v>11894</v>
      </c>
      <c r="R8" s="31">
        <v>2384</v>
      </c>
      <c r="S8" s="31">
        <v>89592</v>
      </c>
      <c r="T8" s="30">
        <f t="shared" si="2"/>
        <v>374863</v>
      </c>
      <c r="U8" s="31">
        <v>11782</v>
      </c>
      <c r="V8" s="31">
        <v>77242</v>
      </c>
      <c r="W8" s="31">
        <v>12208</v>
      </c>
      <c r="X8" s="31">
        <v>49280</v>
      </c>
      <c r="Y8" s="31">
        <v>8361</v>
      </c>
      <c r="Z8" s="31">
        <v>4327</v>
      </c>
      <c r="AA8" s="31">
        <v>103427</v>
      </c>
      <c r="AB8" s="31">
        <v>14221</v>
      </c>
      <c r="AC8" s="31">
        <v>56918</v>
      </c>
      <c r="AD8" s="31">
        <v>37097</v>
      </c>
      <c r="AE8" s="31">
        <v>8414</v>
      </c>
    </row>
    <row r="9" spans="1:31" x14ac:dyDescent="0.3">
      <c r="A9" s="37">
        <v>41517</v>
      </c>
      <c r="B9" s="28">
        <f t="shared" si="0"/>
        <v>602831</v>
      </c>
      <c r="C9" s="29">
        <v>19149</v>
      </c>
      <c r="D9" s="30">
        <f t="shared" si="1"/>
        <v>195680</v>
      </c>
      <c r="E9" s="31">
        <v>2521</v>
      </c>
      <c r="F9" s="31">
        <v>14161</v>
      </c>
      <c r="G9" s="31">
        <v>8776</v>
      </c>
      <c r="H9" s="31">
        <v>22080</v>
      </c>
      <c r="I9" s="31">
        <v>4758</v>
      </c>
      <c r="J9" s="31">
        <v>5466</v>
      </c>
      <c r="K9" s="31">
        <v>3728</v>
      </c>
      <c r="L9" s="31">
        <v>4812</v>
      </c>
      <c r="M9" s="31">
        <v>6633</v>
      </c>
      <c r="N9" s="31">
        <v>9923</v>
      </c>
      <c r="O9" s="31">
        <v>6088</v>
      </c>
      <c r="P9" s="31">
        <v>4487</v>
      </c>
      <c r="Q9" s="31">
        <v>12017</v>
      </c>
      <c r="R9" s="31">
        <v>2385</v>
      </c>
      <c r="S9" s="31">
        <v>87845</v>
      </c>
      <c r="T9" s="30">
        <f t="shared" si="2"/>
        <v>379464</v>
      </c>
      <c r="U9" s="31">
        <v>11730</v>
      </c>
      <c r="V9" s="31">
        <v>77138</v>
      </c>
      <c r="W9" s="31">
        <v>12062</v>
      </c>
      <c r="X9" s="31">
        <v>48607</v>
      </c>
      <c r="Y9" s="31">
        <v>8345</v>
      </c>
      <c r="Z9" s="31">
        <v>4318</v>
      </c>
      <c r="AA9" s="31">
        <v>103869</v>
      </c>
      <c r="AB9" s="31">
        <v>14329</v>
      </c>
      <c r="AC9" s="31">
        <v>61601</v>
      </c>
      <c r="AD9" s="31">
        <v>37465</v>
      </c>
      <c r="AE9" s="31">
        <v>8538</v>
      </c>
    </row>
    <row r="10" spans="1:31" x14ac:dyDescent="0.3">
      <c r="A10" s="37">
        <v>41547</v>
      </c>
      <c r="B10" s="28">
        <f t="shared" si="0"/>
        <v>598355</v>
      </c>
      <c r="C10" s="29">
        <v>18609</v>
      </c>
      <c r="D10" s="30">
        <f t="shared" si="1"/>
        <v>192769</v>
      </c>
      <c r="E10" s="31">
        <v>2557</v>
      </c>
      <c r="F10" s="31">
        <v>14019</v>
      </c>
      <c r="G10" s="31">
        <v>8607</v>
      </c>
      <c r="H10" s="31">
        <v>21860</v>
      </c>
      <c r="I10" s="31">
        <v>4830</v>
      </c>
      <c r="J10" s="31">
        <v>5500</v>
      </c>
      <c r="K10" s="31">
        <v>3692</v>
      </c>
      <c r="L10" s="31">
        <v>4699</v>
      </c>
      <c r="M10" s="31">
        <v>6359</v>
      </c>
      <c r="N10" s="31">
        <v>9677</v>
      </c>
      <c r="O10" s="31">
        <v>6095</v>
      </c>
      <c r="P10" s="31">
        <v>4345</v>
      </c>
      <c r="Q10" s="31">
        <v>11958</v>
      </c>
      <c r="R10" s="31">
        <v>2402</v>
      </c>
      <c r="S10" s="31">
        <v>86169</v>
      </c>
      <c r="T10" s="30">
        <f t="shared" si="2"/>
        <v>379552</v>
      </c>
      <c r="U10" s="31">
        <v>11621</v>
      </c>
      <c r="V10" s="31">
        <v>76977</v>
      </c>
      <c r="W10" s="31">
        <v>11883</v>
      </c>
      <c r="X10" s="31">
        <v>48519</v>
      </c>
      <c r="Y10" s="31">
        <v>8299</v>
      </c>
      <c r="Z10" s="31">
        <v>4251</v>
      </c>
      <c r="AA10" s="31">
        <v>102005</v>
      </c>
      <c r="AB10" s="31">
        <v>14210</v>
      </c>
      <c r="AC10" s="31">
        <v>63959</v>
      </c>
      <c r="AD10" s="31">
        <v>37828</v>
      </c>
      <c r="AE10" s="31">
        <v>7425</v>
      </c>
    </row>
    <row r="11" spans="1:31" x14ac:dyDescent="0.3">
      <c r="A11" s="37">
        <v>41577</v>
      </c>
      <c r="B11" s="28">
        <f t="shared" si="0"/>
        <v>591212</v>
      </c>
      <c r="C11" s="29">
        <v>19520</v>
      </c>
      <c r="D11" s="30">
        <f t="shared" si="1"/>
        <v>189508</v>
      </c>
      <c r="E11" s="31">
        <v>2589</v>
      </c>
      <c r="F11" s="31">
        <v>14161</v>
      </c>
      <c r="G11" s="31">
        <v>8375</v>
      </c>
      <c r="H11" s="31">
        <v>21202</v>
      </c>
      <c r="I11" s="31">
        <v>4660</v>
      </c>
      <c r="J11" s="31">
        <v>5392</v>
      </c>
      <c r="K11" s="31">
        <v>3667</v>
      </c>
      <c r="L11" s="31">
        <v>4615</v>
      </c>
      <c r="M11" s="31">
        <v>6206</v>
      </c>
      <c r="N11" s="31">
        <v>9616</v>
      </c>
      <c r="O11" s="31">
        <v>5939</v>
      </c>
      <c r="P11" s="31">
        <v>4239</v>
      </c>
      <c r="Q11" s="31">
        <v>11698</v>
      </c>
      <c r="R11" s="31">
        <v>2392</v>
      </c>
      <c r="S11" s="31">
        <v>84757</v>
      </c>
      <c r="T11" s="30">
        <f t="shared" si="2"/>
        <v>375739</v>
      </c>
      <c r="U11" s="31">
        <v>11389</v>
      </c>
      <c r="V11" s="31">
        <v>76264</v>
      </c>
      <c r="W11" s="31">
        <v>11778</v>
      </c>
      <c r="X11" s="31">
        <v>51129</v>
      </c>
      <c r="Y11" s="31">
        <v>8184</v>
      </c>
      <c r="Z11" s="31">
        <v>4220</v>
      </c>
      <c r="AA11" s="31">
        <v>102898</v>
      </c>
      <c r="AB11" s="31">
        <v>13800</v>
      </c>
      <c r="AC11" s="31">
        <v>58017</v>
      </c>
      <c r="AD11" s="31">
        <v>38060</v>
      </c>
      <c r="AE11" s="31">
        <v>6445</v>
      </c>
    </row>
    <row r="12" spans="1:31" x14ac:dyDescent="0.3">
      <c r="A12" s="37">
        <v>41608</v>
      </c>
      <c r="B12" s="28">
        <f t="shared" si="0"/>
        <v>587170</v>
      </c>
      <c r="C12" s="29">
        <v>19806</v>
      </c>
      <c r="D12" s="30">
        <f t="shared" si="1"/>
        <v>186501</v>
      </c>
      <c r="E12" s="31">
        <v>2489</v>
      </c>
      <c r="F12" s="31">
        <v>14210</v>
      </c>
      <c r="G12" s="31">
        <v>8166</v>
      </c>
      <c r="H12" s="31">
        <v>20465</v>
      </c>
      <c r="I12" s="31">
        <v>4418</v>
      </c>
      <c r="J12" s="31">
        <v>5271</v>
      </c>
      <c r="K12" s="31">
        <v>3558</v>
      </c>
      <c r="L12" s="31">
        <v>4601</v>
      </c>
      <c r="M12" s="31">
        <v>6034</v>
      </c>
      <c r="N12" s="31">
        <v>9363</v>
      </c>
      <c r="O12" s="31">
        <v>5810</v>
      </c>
      <c r="P12" s="31">
        <v>4187</v>
      </c>
      <c r="Q12" s="31">
        <v>11471</v>
      </c>
      <c r="R12" s="31">
        <v>2366</v>
      </c>
      <c r="S12" s="31">
        <v>84092</v>
      </c>
      <c r="T12" s="30">
        <f t="shared" si="2"/>
        <v>374933</v>
      </c>
      <c r="U12" s="31">
        <v>11166</v>
      </c>
      <c r="V12" s="31">
        <v>74963</v>
      </c>
      <c r="W12" s="31">
        <v>11971</v>
      </c>
      <c r="X12" s="31">
        <v>54498</v>
      </c>
      <c r="Y12" s="31">
        <v>8137</v>
      </c>
      <c r="Z12" s="31">
        <v>4240</v>
      </c>
      <c r="AA12" s="31">
        <v>103844</v>
      </c>
      <c r="AB12" s="31">
        <v>13420</v>
      </c>
      <c r="AC12" s="31">
        <v>54408</v>
      </c>
      <c r="AD12" s="31">
        <v>38286</v>
      </c>
      <c r="AE12" s="31">
        <v>5930</v>
      </c>
    </row>
    <row r="13" spans="1:31" x14ac:dyDescent="0.3">
      <c r="A13" s="37">
        <v>41639</v>
      </c>
      <c r="B13" s="28">
        <f t="shared" si="0"/>
        <v>588117</v>
      </c>
      <c r="C13" s="29">
        <v>19958</v>
      </c>
      <c r="D13" s="30">
        <f t="shared" si="1"/>
        <v>187154</v>
      </c>
      <c r="E13" s="31">
        <v>2476</v>
      </c>
      <c r="F13" s="31">
        <v>14165</v>
      </c>
      <c r="G13" s="31">
        <v>8078</v>
      </c>
      <c r="H13" s="31">
        <v>20044</v>
      </c>
      <c r="I13" s="31">
        <v>4393</v>
      </c>
      <c r="J13" s="31">
        <v>5247</v>
      </c>
      <c r="K13" s="31">
        <v>3533</v>
      </c>
      <c r="L13" s="31">
        <v>4640</v>
      </c>
      <c r="M13" s="31">
        <v>6076</v>
      </c>
      <c r="N13" s="31">
        <v>9335</v>
      </c>
      <c r="O13" s="31">
        <v>5772</v>
      </c>
      <c r="P13" s="31">
        <v>4142</v>
      </c>
      <c r="Q13" s="31">
        <v>11474</v>
      </c>
      <c r="R13" s="31">
        <v>2314</v>
      </c>
      <c r="S13" s="31">
        <v>85465</v>
      </c>
      <c r="T13" s="30">
        <f t="shared" si="2"/>
        <v>375381</v>
      </c>
      <c r="U13" s="31">
        <v>11079</v>
      </c>
      <c r="V13" s="31">
        <v>73712</v>
      </c>
      <c r="W13" s="31">
        <v>11952</v>
      </c>
      <c r="X13" s="31">
        <v>54008</v>
      </c>
      <c r="Y13" s="31">
        <v>8058</v>
      </c>
      <c r="Z13" s="31">
        <v>4212</v>
      </c>
      <c r="AA13" s="31">
        <v>108065</v>
      </c>
      <c r="AB13" s="31">
        <v>13324</v>
      </c>
      <c r="AC13" s="31">
        <v>53151</v>
      </c>
      <c r="AD13" s="31">
        <v>37820</v>
      </c>
      <c r="AE13" s="31">
        <v>5624</v>
      </c>
    </row>
    <row r="14" spans="1:31" x14ac:dyDescent="0.3">
      <c r="A14" s="37">
        <v>41670</v>
      </c>
      <c r="B14" s="28">
        <f t="shared" si="0"/>
        <v>600030</v>
      </c>
      <c r="C14" s="29">
        <v>21126</v>
      </c>
      <c r="D14" s="30">
        <f t="shared" si="1"/>
        <v>190167</v>
      </c>
      <c r="E14" s="31">
        <v>2581</v>
      </c>
      <c r="F14" s="31">
        <v>14504</v>
      </c>
      <c r="G14" s="31">
        <v>8082</v>
      </c>
      <c r="H14" s="31">
        <v>19938</v>
      </c>
      <c r="I14" s="31">
        <v>4586</v>
      </c>
      <c r="J14" s="31">
        <v>5270</v>
      </c>
      <c r="K14" s="31">
        <v>3553</v>
      </c>
      <c r="L14" s="31">
        <v>4625</v>
      </c>
      <c r="M14" s="31">
        <v>6120</v>
      </c>
      <c r="N14" s="31">
        <v>9474</v>
      </c>
      <c r="O14" s="31">
        <v>5825</v>
      </c>
      <c r="P14" s="31">
        <v>4298</v>
      </c>
      <c r="Q14" s="31">
        <v>11522</v>
      </c>
      <c r="R14" s="31">
        <v>2400</v>
      </c>
      <c r="S14" s="31">
        <v>87389</v>
      </c>
      <c r="T14" s="30">
        <f t="shared" si="2"/>
        <v>383296</v>
      </c>
      <c r="U14" s="31">
        <v>11306</v>
      </c>
      <c r="V14" s="31">
        <v>76043</v>
      </c>
      <c r="W14" s="31">
        <v>12017</v>
      </c>
      <c r="X14" s="31">
        <v>55198</v>
      </c>
      <c r="Y14" s="31">
        <v>8292</v>
      </c>
      <c r="Z14" s="31">
        <v>4321</v>
      </c>
      <c r="AA14" s="31">
        <v>110071</v>
      </c>
      <c r="AB14" s="31">
        <v>13501</v>
      </c>
      <c r="AC14" s="31">
        <v>53521</v>
      </c>
      <c r="AD14" s="31">
        <v>39026</v>
      </c>
      <c r="AE14" s="31">
        <v>5441</v>
      </c>
    </row>
    <row r="15" spans="1:31" x14ac:dyDescent="0.3">
      <c r="A15" s="37">
        <v>41698</v>
      </c>
      <c r="B15" s="28">
        <f t="shared" si="0"/>
        <v>595209</v>
      </c>
      <c r="C15" s="29">
        <v>21617</v>
      </c>
      <c r="D15" s="30">
        <f t="shared" si="1"/>
        <v>188003</v>
      </c>
      <c r="E15" s="31">
        <v>2565</v>
      </c>
      <c r="F15" s="31">
        <v>14311</v>
      </c>
      <c r="G15" s="31">
        <v>7902</v>
      </c>
      <c r="H15" s="31">
        <v>19543</v>
      </c>
      <c r="I15" s="31">
        <v>4564</v>
      </c>
      <c r="J15" s="31">
        <v>5249</v>
      </c>
      <c r="K15" s="31">
        <v>3472</v>
      </c>
      <c r="L15" s="31">
        <v>4510</v>
      </c>
      <c r="M15" s="31">
        <v>6021</v>
      </c>
      <c r="N15" s="31">
        <v>9273</v>
      </c>
      <c r="O15" s="31">
        <v>5617</v>
      </c>
      <c r="P15" s="31">
        <v>4277</v>
      </c>
      <c r="Q15" s="31">
        <v>11317</v>
      </c>
      <c r="R15" s="31">
        <v>2394</v>
      </c>
      <c r="S15" s="31">
        <v>86988</v>
      </c>
      <c r="T15" s="30">
        <f t="shared" si="2"/>
        <v>380412</v>
      </c>
      <c r="U15" s="31">
        <v>11042</v>
      </c>
      <c r="V15" s="31">
        <v>75541</v>
      </c>
      <c r="W15" s="31">
        <v>11778</v>
      </c>
      <c r="X15" s="31">
        <v>54911</v>
      </c>
      <c r="Y15" s="31">
        <v>8162</v>
      </c>
      <c r="Z15" s="31">
        <v>4332</v>
      </c>
      <c r="AA15" s="31">
        <v>110499</v>
      </c>
      <c r="AB15" s="31">
        <v>13124</v>
      </c>
      <c r="AC15" s="31">
        <v>52028</v>
      </c>
      <c r="AD15" s="31">
        <v>38995</v>
      </c>
      <c r="AE15" s="31">
        <v>5177</v>
      </c>
    </row>
    <row r="16" spans="1:31" x14ac:dyDescent="0.3">
      <c r="A16" s="37">
        <v>41729</v>
      </c>
      <c r="B16" s="28">
        <f t="shared" si="0"/>
        <v>584401</v>
      </c>
      <c r="C16" s="29">
        <v>21228</v>
      </c>
      <c r="D16" s="30">
        <f t="shared" si="1"/>
        <v>183908</v>
      </c>
      <c r="E16" s="31">
        <v>2559</v>
      </c>
      <c r="F16" s="31">
        <v>13942</v>
      </c>
      <c r="G16" s="31">
        <v>7654</v>
      </c>
      <c r="H16" s="31">
        <v>19247</v>
      </c>
      <c r="I16" s="31">
        <v>4436</v>
      </c>
      <c r="J16" s="31">
        <v>5122</v>
      </c>
      <c r="K16" s="31">
        <v>3375</v>
      </c>
      <c r="L16" s="31">
        <v>4405</v>
      </c>
      <c r="M16" s="31">
        <v>5895</v>
      </c>
      <c r="N16" s="31">
        <v>9042</v>
      </c>
      <c r="O16" s="31">
        <v>5504</v>
      </c>
      <c r="P16" s="31">
        <v>4443</v>
      </c>
      <c r="Q16" s="31">
        <v>11077</v>
      </c>
      <c r="R16" s="31">
        <v>2365</v>
      </c>
      <c r="S16" s="31">
        <v>84842</v>
      </c>
      <c r="T16" s="30">
        <f t="shared" si="2"/>
        <v>374469</v>
      </c>
      <c r="U16" s="31">
        <v>10880</v>
      </c>
      <c r="V16" s="31">
        <v>74103</v>
      </c>
      <c r="W16" s="31">
        <v>11609</v>
      </c>
      <c r="X16" s="31">
        <v>53669</v>
      </c>
      <c r="Y16" s="31">
        <v>8038</v>
      </c>
      <c r="Z16" s="31">
        <v>4243</v>
      </c>
      <c r="AA16" s="31">
        <v>110065</v>
      </c>
      <c r="AB16" s="31">
        <v>12749</v>
      </c>
      <c r="AC16" s="31">
        <v>50614</v>
      </c>
      <c r="AD16" s="31">
        <v>38499</v>
      </c>
      <c r="AE16" s="31">
        <v>4796</v>
      </c>
    </row>
    <row r="17" spans="1:31" x14ac:dyDescent="0.3">
      <c r="A17" s="37">
        <v>41759</v>
      </c>
      <c r="B17" s="28">
        <f t="shared" si="0"/>
        <v>566833</v>
      </c>
      <c r="C17" s="29">
        <v>19648</v>
      </c>
      <c r="D17" s="30">
        <f t="shared" si="1"/>
        <v>178872</v>
      </c>
      <c r="E17" s="31">
        <v>2489</v>
      </c>
      <c r="F17" s="31">
        <v>13522</v>
      </c>
      <c r="G17" s="31">
        <v>7494</v>
      </c>
      <c r="H17" s="31">
        <v>18804</v>
      </c>
      <c r="I17" s="31">
        <v>4349</v>
      </c>
      <c r="J17" s="31">
        <v>5015</v>
      </c>
      <c r="K17" s="31">
        <v>3304</v>
      </c>
      <c r="L17" s="31">
        <v>4258</v>
      </c>
      <c r="M17" s="31">
        <v>5706</v>
      </c>
      <c r="N17" s="31">
        <v>8831</v>
      </c>
      <c r="O17" s="31">
        <v>5461</v>
      </c>
      <c r="P17" s="31">
        <v>4321</v>
      </c>
      <c r="Q17" s="31">
        <v>10869</v>
      </c>
      <c r="R17" s="31">
        <v>2291</v>
      </c>
      <c r="S17" s="31">
        <v>82158</v>
      </c>
      <c r="T17" s="30">
        <f t="shared" si="2"/>
        <v>364005</v>
      </c>
      <c r="U17" s="31">
        <v>10568</v>
      </c>
      <c r="V17" s="31">
        <v>71863</v>
      </c>
      <c r="W17" s="31">
        <v>11118</v>
      </c>
      <c r="X17" s="31">
        <v>50716</v>
      </c>
      <c r="Y17" s="31">
        <v>7848</v>
      </c>
      <c r="Z17" s="31">
        <v>4178</v>
      </c>
      <c r="AA17" s="31">
        <v>108956</v>
      </c>
      <c r="AB17" s="31">
        <v>12290</v>
      </c>
      <c r="AC17" s="31">
        <v>48984</v>
      </c>
      <c r="AD17" s="31">
        <v>37484</v>
      </c>
      <c r="AE17" s="31">
        <v>4308</v>
      </c>
    </row>
    <row r="18" spans="1:31" x14ac:dyDescent="0.3">
      <c r="A18" s="37">
        <v>41790</v>
      </c>
      <c r="B18" s="28">
        <f t="shared" si="0"/>
        <v>540685</v>
      </c>
      <c r="C18" s="29">
        <v>18378</v>
      </c>
      <c r="D18" s="30">
        <f t="shared" si="1"/>
        <v>171660</v>
      </c>
      <c r="E18" s="31">
        <v>2435</v>
      </c>
      <c r="F18" s="31">
        <v>12882</v>
      </c>
      <c r="G18" s="31">
        <v>7236</v>
      </c>
      <c r="H18" s="31">
        <v>18166</v>
      </c>
      <c r="I18" s="31">
        <v>4161</v>
      </c>
      <c r="J18" s="31">
        <v>4821</v>
      </c>
      <c r="K18" s="31">
        <v>3193</v>
      </c>
      <c r="L18" s="31">
        <v>4131</v>
      </c>
      <c r="M18" s="31">
        <v>5503</v>
      </c>
      <c r="N18" s="31">
        <v>8499</v>
      </c>
      <c r="O18" s="31">
        <v>5246</v>
      </c>
      <c r="P18" s="31">
        <v>4073</v>
      </c>
      <c r="Q18" s="31">
        <v>10427</v>
      </c>
      <c r="R18" s="31">
        <v>2210</v>
      </c>
      <c r="S18" s="31">
        <v>78677</v>
      </c>
      <c r="T18" s="30">
        <f t="shared" si="2"/>
        <v>346719</v>
      </c>
      <c r="U18" s="31">
        <v>10199</v>
      </c>
      <c r="V18" s="31">
        <v>68683</v>
      </c>
      <c r="W18" s="31">
        <v>10440</v>
      </c>
      <c r="X18" s="31">
        <v>46866</v>
      </c>
      <c r="Y18" s="31">
        <v>7495</v>
      </c>
      <c r="Z18" s="31">
        <v>4021</v>
      </c>
      <c r="AA18" s="31">
        <v>104825</v>
      </c>
      <c r="AB18" s="31">
        <v>11673</v>
      </c>
      <c r="AC18" s="31">
        <v>46403</v>
      </c>
      <c r="AD18" s="31">
        <v>36114</v>
      </c>
      <c r="AE18" s="31">
        <v>3928</v>
      </c>
    </row>
    <row r="19" spans="1:31" x14ac:dyDescent="0.3">
      <c r="A19" s="37">
        <v>41820</v>
      </c>
      <c r="B19" s="28">
        <f t="shared" si="0"/>
        <v>524085</v>
      </c>
      <c r="C19" s="29">
        <v>17784</v>
      </c>
      <c r="D19" s="30">
        <f t="shared" si="1"/>
        <v>165518</v>
      </c>
      <c r="E19" s="31">
        <v>2429</v>
      </c>
      <c r="F19" s="31">
        <v>12354</v>
      </c>
      <c r="G19" s="31">
        <v>7022</v>
      </c>
      <c r="H19" s="31">
        <v>17486</v>
      </c>
      <c r="I19" s="31">
        <v>4051</v>
      </c>
      <c r="J19" s="31">
        <v>4716</v>
      </c>
      <c r="K19" s="31">
        <v>3123</v>
      </c>
      <c r="L19" s="31">
        <v>4110</v>
      </c>
      <c r="M19" s="31">
        <v>5353</v>
      </c>
      <c r="N19" s="31">
        <v>8168</v>
      </c>
      <c r="O19" s="31">
        <v>5105</v>
      </c>
      <c r="P19" s="31">
        <v>3880</v>
      </c>
      <c r="Q19" s="31">
        <v>10187</v>
      </c>
      <c r="R19" s="31">
        <v>2155</v>
      </c>
      <c r="S19" s="31">
        <v>75379</v>
      </c>
      <c r="T19" s="30">
        <f t="shared" si="2"/>
        <v>337130</v>
      </c>
      <c r="U19" s="31">
        <v>9940</v>
      </c>
      <c r="V19" s="31">
        <v>65738</v>
      </c>
      <c r="W19" s="31">
        <v>10105</v>
      </c>
      <c r="X19" s="31">
        <v>44377</v>
      </c>
      <c r="Y19" s="31">
        <v>7234</v>
      </c>
      <c r="Z19" s="31">
        <v>3933</v>
      </c>
      <c r="AA19" s="31">
        <v>102768</v>
      </c>
      <c r="AB19" s="31">
        <v>11424</v>
      </c>
      <c r="AC19" s="31">
        <v>47144</v>
      </c>
      <c r="AD19" s="31">
        <v>34467</v>
      </c>
      <c r="AE19" s="31">
        <v>3653</v>
      </c>
    </row>
    <row r="20" spans="1:31" x14ac:dyDescent="0.3">
      <c r="A20" s="37">
        <v>41851</v>
      </c>
      <c r="B20" s="28">
        <f t="shared" si="0"/>
        <v>520914</v>
      </c>
      <c r="C20" s="29">
        <v>17882</v>
      </c>
      <c r="D20" s="30">
        <f t="shared" si="1"/>
        <v>162102</v>
      </c>
      <c r="E20" s="31">
        <v>2454</v>
      </c>
      <c r="F20" s="31">
        <v>12278</v>
      </c>
      <c r="G20" s="31">
        <v>6893</v>
      </c>
      <c r="H20" s="31">
        <v>17177</v>
      </c>
      <c r="I20" s="31">
        <v>3912</v>
      </c>
      <c r="J20" s="31">
        <v>4597</v>
      </c>
      <c r="K20" s="31">
        <v>3072</v>
      </c>
      <c r="L20" s="31">
        <v>4101</v>
      </c>
      <c r="M20" s="31">
        <v>5239</v>
      </c>
      <c r="N20" s="31">
        <v>7986</v>
      </c>
      <c r="O20" s="31">
        <v>5060</v>
      </c>
      <c r="P20" s="31">
        <v>3912</v>
      </c>
      <c r="Q20" s="31">
        <v>10079</v>
      </c>
      <c r="R20" s="31">
        <v>2149</v>
      </c>
      <c r="S20" s="31">
        <v>73193</v>
      </c>
      <c r="T20" s="30">
        <f t="shared" si="2"/>
        <v>337442</v>
      </c>
      <c r="U20" s="31">
        <v>9702</v>
      </c>
      <c r="V20" s="31">
        <v>64611</v>
      </c>
      <c r="W20" s="31">
        <v>9872</v>
      </c>
      <c r="X20" s="31">
        <v>42664</v>
      </c>
      <c r="Y20" s="31">
        <v>7214</v>
      </c>
      <c r="Z20" s="31">
        <v>3943</v>
      </c>
      <c r="AA20" s="31">
        <v>102822</v>
      </c>
      <c r="AB20" s="31">
        <v>11303</v>
      </c>
      <c r="AC20" s="31">
        <v>51148</v>
      </c>
      <c r="AD20" s="31">
        <v>34163</v>
      </c>
      <c r="AE20" s="31">
        <v>3488</v>
      </c>
    </row>
    <row r="21" spans="1:31" x14ac:dyDescent="0.3">
      <c r="A21" s="37">
        <v>41882</v>
      </c>
      <c r="B21" s="28">
        <f t="shared" si="0"/>
        <v>528940</v>
      </c>
      <c r="C21" s="29">
        <v>18290</v>
      </c>
      <c r="D21" s="30">
        <f t="shared" si="1"/>
        <v>162748</v>
      </c>
      <c r="E21" s="31">
        <v>2450</v>
      </c>
      <c r="F21" s="31">
        <v>12281</v>
      </c>
      <c r="G21" s="31">
        <v>6859</v>
      </c>
      <c r="H21" s="31">
        <v>17536</v>
      </c>
      <c r="I21" s="31">
        <v>4010</v>
      </c>
      <c r="J21" s="31">
        <v>4817</v>
      </c>
      <c r="K21" s="31">
        <v>3085</v>
      </c>
      <c r="L21" s="31">
        <v>4163</v>
      </c>
      <c r="M21" s="31">
        <v>5274</v>
      </c>
      <c r="N21" s="31">
        <v>8102</v>
      </c>
      <c r="O21" s="31">
        <v>5099</v>
      </c>
      <c r="P21" s="31">
        <v>3958</v>
      </c>
      <c r="Q21" s="31">
        <v>10201</v>
      </c>
      <c r="R21" s="31">
        <v>2185</v>
      </c>
      <c r="S21" s="31">
        <v>72728</v>
      </c>
      <c r="T21" s="30">
        <f t="shared" si="2"/>
        <v>344440</v>
      </c>
      <c r="U21" s="31">
        <v>9681</v>
      </c>
      <c r="V21" s="31">
        <v>64890</v>
      </c>
      <c r="W21" s="31">
        <v>9886</v>
      </c>
      <c r="X21" s="31">
        <v>42677</v>
      </c>
      <c r="Y21" s="31">
        <v>7307</v>
      </c>
      <c r="Z21" s="31">
        <v>3986</v>
      </c>
      <c r="AA21" s="31">
        <v>105533</v>
      </c>
      <c r="AB21" s="31">
        <v>11382</v>
      </c>
      <c r="AC21" s="31">
        <v>54116</v>
      </c>
      <c r="AD21" s="31">
        <v>34982</v>
      </c>
      <c r="AE21" s="31">
        <v>3462</v>
      </c>
    </row>
    <row r="22" spans="1:31" x14ac:dyDescent="0.3">
      <c r="A22" s="37">
        <v>41912</v>
      </c>
      <c r="B22" s="28">
        <f t="shared" si="0"/>
        <v>517288</v>
      </c>
      <c r="C22" s="29">
        <v>18242</v>
      </c>
      <c r="D22" s="30">
        <f t="shared" si="1"/>
        <v>157719</v>
      </c>
      <c r="E22" s="31">
        <v>2355</v>
      </c>
      <c r="F22" s="31">
        <v>12063</v>
      </c>
      <c r="G22" s="31">
        <v>6569</v>
      </c>
      <c r="H22" s="31">
        <v>16973</v>
      </c>
      <c r="I22" s="31">
        <v>3922</v>
      </c>
      <c r="J22" s="31">
        <v>4622</v>
      </c>
      <c r="K22" s="31">
        <v>2982</v>
      </c>
      <c r="L22" s="31">
        <v>4075</v>
      </c>
      <c r="M22" s="31">
        <v>5088</v>
      </c>
      <c r="N22" s="31">
        <v>7815</v>
      </c>
      <c r="O22" s="31">
        <v>4869</v>
      </c>
      <c r="P22" s="31">
        <v>3899</v>
      </c>
      <c r="Q22" s="31">
        <v>9871</v>
      </c>
      <c r="R22" s="31">
        <v>2107</v>
      </c>
      <c r="S22" s="31">
        <v>70509</v>
      </c>
      <c r="T22" s="30">
        <f t="shared" si="2"/>
        <v>338036</v>
      </c>
      <c r="U22" s="31">
        <v>9414</v>
      </c>
      <c r="V22" s="31">
        <v>63664</v>
      </c>
      <c r="W22" s="31">
        <v>9592</v>
      </c>
      <c r="X22" s="31">
        <v>41412</v>
      </c>
      <c r="Y22" s="31">
        <v>7227</v>
      </c>
      <c r="Z22" s="31">
        <v>3952</v>
      </c>
      <c r="AA22" s="31">
        <v>102519</v>
      </c>
      <c r="AB22" s="31">
        <v>11038</v>
      </c>
      <c r="AC22" s="31">
        <v>54730</v>
      </c>
      <c r="AD22" s="31">
        <v>34488</v>
      </c>
      <c r="AE22" s="31">
        <v>3291</v>
      </c>
    </row>
    <row r="23" spans="1:31" x14ac:dyDescent="0.3">
      <c r="A23" s="37">
        <v>41942</v>
      </c>
      <c r="B23" s="28">
        <f t="shared" si="0"/>
        <v>506311</v>
      </c>
      <c r="C23" s="29">
        <v>19649</v>
      </c>
      <c r="D23" s="30">
        <f t="shared" si="1"/>
        <v>153195</v>
      </c>
      <c r="E23" s="31">
        <v>2330</v>
      </c>
      <c r="F23" s="31">
        <v>12064</v>
      </c>
      <c r="G23" s="31">
        <v>6379</v>
      </c>
      <c r="H23" s="31">
        <v>16283</v>
      </c>
      <c r="I23" s="31">
        <v>3843</v>
      </c>
      <c r="J23" s="31">
        <v>4475</v>
      </c>
      <c r="K23" s="31">
        <v>2905</v>
      </c>
      <c r="L23" s="31">
        <v>3986</v>
      </c>
      <c r="M23" s="31">
        <v>4820</v>
      </c>
      <c r="N23" s="31">
        <v>7526</v>
      </c>
      <c r="O23" s="31">
        <v>4696</v>
      </c>
      <c r="P23" s="31">
        <v>3765</v>
      </c>
      <c r="Q23" s="31">
        <v>9511</v>
      </c>
      <c r="R23" s="31">
        <v>2064</v>
      </c>
      <c r="S23" s="31">
        <v>68548</v>
      </c>
      <c r="T23" s="30">
        <f t="shared" si="2"/>
        <v>330296</v>
      </c>
      <c r="U23" s="31">
        <v>9177</v>
      </c>
      <c r="V23" s="31">
        <v>62147</v>
      </c>
      <c r="W23" s="31">
        <v>9483</v>
      </c>
      <c r="X23" s="31">
        <v>43359</v>
      </c>
      <c r="Y23" s="31">
        <v>7080</v>
      </c>
      <c r="Z23" s="31">
        <v>3924</v>
      </c>
      <c r="AA23" s="31">
        <v>102374</v>
      </c>
      <c r="AB23" s="31">
        <v>10710</v>
      </c>
      <c r="AC23" s="31">
        <v>47928</v>
      </c>
      <c r="AD23" s="31">
        <v>34114</v>
      </c>
      <c r="AE23" s="31">
        <v>3171</v>
      </c>
    </row>
    <row r="24" spans="1:31" x14ac:dyDescent="0.3">
      <c r="A24" s="37">
        <v>41973</v>
      </c>
      <c r="B24" s="28">
        <f t="shared" si="0"/>
        <v>500918</v>
      </c>
      <c r="C24" s="29">
        <v>19702</v>
      </c>
      <c r="D24" s="30">
        <f t="shared" si="1"/>
        <v>150342</v>
      </c>
      <c r="E24" s="31">
        <v>2282</v>
      </c>
      <c r="F24" s="31">
        <v>11938</v>
      </c>
      <c r="G24" s="31">
        <v>6275</v>
      </c>
      <c r="H24" s="31">
        <v>15816</v>
      </c>
      <c r="I24" s="31">
        <v>3909</v>
      </c>
      <c r="J24" s="31">
        <v>4347</v>
      </c>
      <c r="K24" s="31">
        <v>2804</v>
      </c>
      <c r="L24" s="31">
        <v>3880</v>
      </c>
      <c r="M24" s="31">
        <v>4691</v>
      </c>
      <c r="N24" s="31">
        <v>7418</v>
      </c>
      <c r="O24" s="31">
        <v>4621</v>
      </c>
      <c r="P24" s="31">
        <v>3710</v>
      </c>
      <c r="Q24" s="31">
        <v>9200</v>
      </c>
      <c r="R24" s="31">
        <v>2012</v>
      </c>
      <c r="S24" s="31">
        <v>67439</v>
      </c>
      <c r="T24" s="30">
        <f t="shared" si="2"/>
        <v>327859</v>
      </c>
      <c r="U24" s="31">
        <v>8921</v>
      </c>
      <c r="V24" s="31">
        <v>60346</v>
      </c>
      <c r="W24" s="31">
        <v>9699</v>
      </c>
      <c r="X24" s="31">
        <v>47163</v>
      </c>
      <c r="Y24" s="31">
        <v>6982</v>
      </c>
      <c r="Z24" s="31">
        <v>3866</v>
      </c>
      <c r="AA24" s="31">
        <v>102322</v>
      </c>
      <c r="AB24" s="31">
        <v>10337</v>
      </c>
      <c r="AC24" s="31">
        <v>43976</v>
      </c>
      <c r="AD24" s="31">
        <v>34247</v>
      </c>
      <c r="AE24" s="31">
        <v>3015</v>
      </c>
    </row>
    <row r="25" spans="1:31" x14ac:dyDescent="0.3">
      <c r="A25" s="37">
        <v>42004</v>
      </c>
      <c r="B25" s="28">
        <f t="shared" si="0"/>
        <v>504271</v>
      </c>
      <c r="C25" s="29">
        <v>20117</v>
      </c>
      <c r="D25" s="30">
        <f t="shared" si="1"/>
        <v>152123</v>
      </c>
      <c r="E25" s="31">
        <v>2267</v>
      </c>
      <c r="F25" s="31">
        <v>11931</v>
      </c>
      <c r="G25" s="31">
        <v>6267</v>
      </c>
      <c r="H25" s="31">
        <v>15914</v>
      </c>
      <c r="I25" s="31">
        <v>4080</v>
      </c>
      <c r="J25" s="31">
        <v>4341</v>
      </c>
      <c r="K25" s="31">
        <v>2793</v>
      </c>
      <c r="L25" s="31">
        <v>3900</v>
      </c>
      <c r="M25" s="31">
        <v>4714</v>
      </c>
      <c r="N25" s="31">
        <v>7569</v>
      </c>
      <c r="O25" s="31">
        <v>4622</v>
      </c>
      <c r="P25" s="31">
        <v>3810</v>
      </c>
      <c r="Q25" s="31">
        <v>9303</v>
      </c>
      <c r="R25" s="31">
        <v>1991</v>
      </c>
      <c r="S25" s="31">
        <v>68621</v>
      </c>
      <c r="T25" s="30">
        <f t="shared" si="2"/>
        <v>329002</v>
      </c>
      <c r="U25" s="31">
        <v>8762</v>
      </c>
      <c r="V25" s="31">
        <v>59081</v>
      </c>
      <c r="W25" s="31">
        <v>9689</v>
      </c>
      <c r="X25" s="31">
        <v>46949</v>
      </c>
      <c r="Y25" s="31">
        <v>6832</v>
      </c>
      <c r="Z25" s="31">
        <v>4013</v>
      </c>
      <c r="AA25" s="31">
        <v>106147</v>
      </c>
      <c r="AB25" s="31">
        <v>10262</v>
      </c>
      <c r="AC25" s="31">
        <v>43355</v>
      </c>
      <c r="AD25" s="31">
        <v>33912</v>
      </c>
      <c r="AE25" s="31">
        <v>3029</v>
      </c>
    </row>
    <row r="26" spans="1:31" x14ac:dyDescent="0.3">
      <c r="A26" s="37">
        <v>42035</v>
      </c>
      <c r="B26" s="28">
        <f t="shared" si="0"/>
        <v>518427</v>
      </c>
      <c r="C26" s="29">
        <v>20883</v>
      </c>
      <c r="D26" s="30">
        <f t="shared" si="1"/>
        <v>154780</v>
      </c>
      <c r="E26" s="31">
        <v>2306</v>
      </c>
      <c r="F26" s="31">
        <v>12197</v>
      </c>
      <c r="G26" s="31">
        <v>6346</v>
      </c>
      <c r="H26" s="31">
        <v>16165</v>
      </c>
      <c r="I26" s="31">
        <v>4233</v>
      </c>
      <c r="J26" s="31">
        <v>4396</v>
      </c>
      <c r="K26" s="31">
        <v>2875</v>
      </c>
      <c r="L26" s="31">
        <v>4025</v>
      </c>
      <c r="M26" s="31">
        <v>4738</v>
      </c>
      <c r="N26" s="31">
        <v>7590</v>
      </c>
      <c r="O26" s="31">
        <v>4749</v>
      </c>
      <c r="P26" s="31">
        <v>3876</v>
      </c>
      <c r="Q26" s="31">
        <v>9466</v>
      </c>
      <c r="R26" s="31">
        <v>2081</v>
      </c>
      <c r="S26" s="31">
        <v>69737</v>
      </c>
      <c r="T26" s="30">
        <f t="shared" si="2"/>
        <v>339591</v>
      </c>
      <c r="U26" s="31">
        <v>8969</v>
      </c>
      <c r="V26" s="31">
        <v>61937</v>
      </c>
      <c r="W26" s="31">
        <v>9815</v>
      </c>
      <c r="X26" s="31">
        <v>48903</v>
      </c>
      <c r="Y26" s="31">
        <v>7218</v>
      </c>
      <c r="Z26" s="31">
        <v>4344</v>
      </c>
      <c r="AA26" s="31">
        <v>107858</v>
      </c>
      <c r="AB26" s="31">
        <v>10685</v>
      </c>
      <c r="AC26" s="31">
        <v>44555</v>
      </c>
      <c r="AD26" s="31">
        <v>35307</v>
      </c>
      <c r="AE26" s="31">
        <v>3173</v>
      </c>
    </row>
    <row r="27" spans="1:31" x14ac:dyDescent="0.3">
      <c r="A27" s="37">
        <v>42063</v>
      </c>
      <c r="B27" s="30">
        <f t="shared" ref="B27:B37" si="3">C27+D27+T27</f>
        <v>505762</v>
      </c>
      <c r="C27" s="29">
        <v>20883</v>
      </c>
      <c r="D27" s="30">
        <f t="shared" si="1"/>
        <v>151161</v>
      </c>
      <c r="E27" s="31">
        <v>2255</v>
      </c>
      <c r="F27" s="31">
        <v>12094</v>
      </c>
      <c r="G27" s="31">
        <v>6131</v>
      </c>
      <c r="H27" s="31">
        <v>15673</v>
      </c>
      <c r="I27" s="31">
        <v>4219</v>
      </c>
      <c r="J27" s="31">
        <v>4325</v>
      </c>
      <c r="K27" s="31">
        <v>2788</v>
      </c>
      <c r="L27" s="31">
        <v>3963</v>
      </c>
      <c r="M27" s="31">
        <v>4623</v>
      </c>
      <c r="N27" s="31">
        <v>7360</v>
      </c>
      <c r="O27" s="31">
        <v>4528</v>
      </c>
      <c r="P27" s="31">
        <v>3769</v>
      </c>
      <c r="Q27" s="31">
        <v>9210</v>
      </c>
      <c r="R27" s="31">
        <v>2047</v>
      </c>
      <c r="S27" s="31">
        <v>68176</v>
      </c>
      <c r="T27" s="30">
        <f t="shared" si="2"/>
        <v>333718</v>
      </c>
      <c r="U27" s="31">
        <v>8753</v>
      </c>
      <c r="V27" s="31">
        <v>61286</v>
      </c>
      <c r="W27" s="31">
        <v>9505</v>
      </c>
      <c r="X27" s="31">
        <v>47785</v>
      </c>
      <c r="Y27" s="31">
        <v>7172</v>
      </c>
      <c r="Z27" s="31">
        <v>4341</v>
      </c>
      <c r="AA27" s="31">
        <v>106676</v>
      </c>
      <c r="AB27" s="31">
        <v>10490</v>
      </c>
      <c r="AC27" s="31">
        <v>43018</v>
      </c>
      <c r="AD27" s="31">
        <v>34692</v>
      </c>
      <c r="AE27" s="31">
        <v>3029</v>
      </c>
    </row>
    <row r="28" spans="1:31" x14ac:dyDescent="0.3">
      <c r="A28" s="37">
        <v>42094</v>
      </c>
      <c r="B28" s="30">
        <f t="shared" si="3"/>
        <v>494288</v>
      </c>
      <c r="C28" s="29">
        <v>20883</v>
      </c>
      <c r="D28" s="30">
        <f t="shared" si="1"/>
        <v>146580</v>
      </c>
      <c r="E28" s="31">
        <v>2234</v>
      </c>
      <c r="F28" s="31">
        <v>11835</v>
      </c>
      <c r="G28" s="31">
        <v>6154</v>
      </c>
      <c r="H28" s="31">
        <v>15136</v>
      </c>
      <c r="I28" s="31">
        <v>4081</v>
      </c>
      <c r="J28" s="31">
        <v>4238</v>
      </c>
      <c r="K28" s="31">
        <v>2667</v>
      </c>
      <c r="L28" s="31">
        <v>3817</v>
      </c>
      <c r="M28" s="31">
        <v>4473</v>
      </c>
      <c r="N28" s="31">
        <v>7186</v>
      </c>
      <c r="O28" s="31">
        <v>4348</v>
      </c>
      <c r="P28" s="31">
        <v>3648</v>
      </c>
      <c r="Q28" s="31">
        <v>8899</v>
      </c>
      <c r="R28" s="31">
        <v>2011</v>
      </c>
      <c r="S28" s="31">
        <v>65853</v>
      </c>
      <c r="T28" s="30">
        <f t="shared" si="2"/>
        <v>326825</v>
      </c>
      <c r="U28" s="31">
        <v>8481</v>
      </c>
      <c r="V28" s="31">
        <v>60153</v>
      </c>
      <c r="W28" s="31">
        <v>9028</v>
      </c>
      <c r="X28" s="31">
        <v>45969</v>
      </c>
      <c r="Y28" s="31">
        <v>7128</v>
      </c>
      <c r="Z28" s="31">
        <v>4217</v>
      </c>
      <c r="AA28" s="31">
        <v>105861</v>
      </c>
      <c r="AB28" s="31">
        <v>10208</v>
      </c>
      <c r="AC28" s="31">
        <v>41798</v>
      </c>
      <c r="AD28" s="31">
        <v>33982</v>
      </c>
      <c r="AE28" s="31">
        <v>2920</v>
      </c>
    </row>
    <row r="29" spans="1:31" x14ac:dyDescent="0.3">
      <c r="A29" s="37">
        <v>42124</v>
      </c>
      <c r="B29" s="30">
        <f t="shared" si="3"/>
        <v>481738</v>
      </c>
      <c r="C29" s="29">
        <v>20883</v>
      </c>
      <c r="D29" s="30">
        <f t="shared" si="1"/>
        <v>143005</v>
      </c>
      <c r="E29" s="31">
        <v>2178</v>
      </c>
      <c r="F29" s="31">
        <v>11574</v>
      </c>
      <c r="G29" s="31">
        <v>6029</v>
      </c>
      <c r="H29" s="31">
        <v>15066</v>
      </c>
      <c r="I29" s="31">
        <v>4110</v>
      </c>
      <c r="J29" s="31">
        <v>4176</v>
      </c>
      <c r="K29" s="31">
        <v>2633</v>
      </c>
      <c r="L29" s="31">
        <v>3710</v>
      </c>
      <c r="M29" s="31">
        <v>4363</v>
      </c>
      <c r="N29" s="31">
        <v>7081</v>
      </c>
      <c r="O29" s="31">
        <v>4238</v>
      </c>
      <c r="P29" s="31">
        <v>3510</v>
      </c>
      <c r="Q29" s="31">
        <v>8714</v>
      </c>
      <c r="R29" s="31">
        <v>1915</v>
      </c>
      <c r="S29" s="31">
        <v>63708</v>
      </c>
      <c r="T29" s="30">
        <f t="shared" si="2"/>
        <v>317850</v>
      </c>
      <c r="U29" s="31">
        <v>8347</v>
      </c>
      <c r="V29" s="31">
        <v>58957</v>
      </c>
      <c r="W29" s="31">
        <v>8711</v>
      </c>
      <c r="X29" s="31">
        <v>43819</v>
      </c>
      <c r="Y29" s="31">
        <v>7070</v>
      </c>
      <c r="Z29" s="31">
        <v>4175</v>
      </c>
      <c r="AA29" s="31">
        <v>102899</v>
      </c>
      <c r="AB29" s="31">
        <v>9943</v>
      </c>
      <c r="AC29" s="31">
        <v>40810</v>
      </c>
      <c r="AD29" s="31">
        <v>33119</v>
      </c>
      <c r="AE29" s="31">
        <v>2770</v>
      </c>
    </row>
    <row r="30" spans="1:31" x14ac:dyDescent="0.3">
      <c r="A30" s="37">
        <v>42155</v>
      </c>
      <c r="B30" s="30">
        <f t="shared" si="3"/>
        <v>466408</v>
      </c>
      <c r="C30" s="29">
        <v>20883</v>
      </c>
      <c r="D30" s="30">
        <f t="shared" si="1"/>
        <v>138242</v>
      </c>
      <c r="E30" s="31">
        <v>2081</v>
      </c>
      <c r="F30" s="31">
        <v>11044</v>
      </c>
      <c r="G30" s="31">
        <v>5899</v>
      </c>
      <c r="H30" s="31">
        <v>14731</v>
      </c>
      <c r="I30" s="31">
        <v>3991</v>
      </c>
      <c r="J30" s="31">
        <v>4044</v>
      </c>
      <c r="K30" s="31">
        <v>2591</v>
      </c>
      <c r="L30" s="31">
        <v>3572</v>
      </c>
      <c r="M30" s="31">
        <v>4201</v>
      </c>
      <c r="N30" s="31">
        <v>6859</v>
      </c>
      <c r="O30" s="31">
        <v>4175</v>
      </c>
      <c r="P30" s="31">
        <v>3441</v>
      </c>
      <c r="Q30" s="31">
        <v>8480</v>
      </c>
      <c r="R30" s="31">
        <v>1865</v>
      </c>
      <c r="S30" s="31">
        <v>61268</v>
      </c>
      <c r="T30" s="30">
        <f t="shared" si="2"/>
        <v>307283</v>
      </c>
      <c r="U30" s="31">
        <v>8093</v>
      </c>
      <c r="V30" s="31">
        <v>57303</v>
      </c>
      <c r="W30" s="31">
        <v>8292</v>
      </c>
      <c r="X30" s="31">
        <v>40657</v>
      </c>
      <c r="Y30" s="31">
        <v>6985</v>
      </c>
      <c r="Z30" s="31">
        <v>4091</v>
      </c>
      <c r="AA30" s="31">
        <v>100242</v>
      </c>
      <c r="AB30" s="31">
        <v>9794</v>
      </c>
      <c r="AC30" s="31">
        <v>39868</v>
      </c>
      <c r="AD30" s="31">
        <v>31958</v>
      </c>
      <c r="AE30" s="31">
        <v>2717</v>
      </c>
    </row>
    <row r="31" spans="1:31" x14ac:dyDescent="0.3">
      <c r="A31" s="37">
        <v>42185</v>
      </c>
      <c r="B31" s="30">
        <f t="shared" si="3"/>
        <v>453060</v>
      </c>
      <c r="C31" s="29">
        <v>20883</v>
      </c>
      <c r="D31" s="30">
        <f t="shared" si="1"/>
        <v>133159</v>
      </c>
      <c r="E31" s="31">
        <v>1988</v>
      </c>
      <c r="F31" s="31">
        <v>10631</v>
      </c>
      <c r="G31" s="31">
        <v>5652</v>
      </c>
      <c r="H31" s="31">
        <v>14233</v>
      </c>
      <c r="I31" s="31">
        <v>3932</v>
      </c>
      <c r="J31" s="31">
        <v>4015</v>
      </c>
      <c r="K31" s="31">
        <v>2468</v>
      </c>
      <c r="L31" s="31">
        <v>3484</v>
      </c>
      <c r="M31" s="31">
        <v>4095</v>
      </c>
      <c r="N31" s="31">
        <v>6629</v>
      </c>
      <c r="O31" s="31">
        <v>4017</v>
      </c>
      <c r="P31" s="31">
        <v>3306</v>
      </c>
      <c r="Q31" s="31">
        <v>8160</v>
      </c>
      <c r="R31" s="31">
        <v>1801</v>
      </c>
      <c r="S31" s="31">
        <v>58748</v>
      </c>
      <c r="T31" s="30">
        <f t="shared" si="2"/>
        <v>299018</v>
      </c>
      <c r="U31" s="31">
        <v>7706</v>
      </c>
      <c r="V31" s="31">
        <v>54766</v>
      </c>
      <c r="W31" s="31">
        <v>8007</v>
      </c>
      <c r="X31" s="31">
        <v>38306</v>
      </c>
      <c r="Y31" s="31">
        <v>6724</v>
      </c>
      <c r="Z31" s="31">
        <v>3983</v>
      </c>
      <c r="AA31" s="31">
        <v>98387</v>
      </c>
      <c r="AB31" s="31">
        <v>9543</v>
      </c>
      <c r="AC31" s="31">
        <v>40604</v>
      </c>
      <c r="AD31" s="31">
        <v>30992</v>
      </c>
      <c r="AE31" s="31">
        <v>2658</v>
      </c>
    </row>
    <row r="32" spans="1:31" x14ac:dyDescent="0.3">
      <c r="A32" s="37">
        <v>42216</v>
      </c>
      <c r="B32" s="30">
        <f t="shared" si="3"/>
        <v>448082</v>
      </c>
      <c r="C32" s="29">
        <v>20883</v>
      </c>
      <c r="D32" s="30">
        <f t="shared" si="1"/>
        <v>129825</v>
      </c>
      <c r="E32" s="31">
        <v>1982</v>
      </c>
      <c r="F32" s="31">
        <v>10295</v>
      </c>
      <c r="G32" s="31">
        <v>5590</v>
      </c>
      <c r="H32" s="31">
        <v>14053</v>
      </c>
      <c r="I32" s="31">
        <v>3821</v>
      </c>
      <c r="J32" s="31">
        <v>3931</v>
      </c>
      <c r="K32" s="31">
        <v>2446</v>
      </c>
      <c r="L32" s="31">
        <v>3466</v>
      </c>
      <c r="M32" s="31">
        <v>3994</v>
      </c>
      <c r="N32" s="31">
        <v>6441</v>
      </c>
      <c r="O32" s="31">
        <v>3926</v>
      </c>
      <c r="P32" s="31">
        <v>3348</v>
      </c>
      <c r="Q32" s="31">
        <v>8047</v>
      </c>
      <c r="R32" s="31">
        <v>1790</v>
      </c>
      <c r="S32" s="31">
        <v>56695</v>
      </c>
      <c r="T32" s="29">
        <v>297374</v>
      </c>
      <c r="U32" s="31">
        <v>7553</v>
      </c>
      <c r="V32" s="31">
        <v>53607</v>
      </c>
      <c r="W32" s="31">
        <v>7800</v>
      </c>
      <c r="X32" s="31">
        <v>36614</v>
      </c>
      <c r="Y32" s="31">
        <v>6694</v>
      </c>
      <c r="Z32" s="31">
        <v>3967</v>
      </c>
      <c r="AA32" s="31">
        <v>97828</v>
      </c>
      <c r="AB32" s="31">
        <v>9463</v>
      </c>
      <c r="AC32" s="31">
        <v>43046</v>
      </c>
      <c r="AD32" s="31">
        <v>30802</v>
      </c>
      <c r="AE32" s="31">
        <v>2584</v>
      </c>
    </row>
    <row r="33" spans="1:31" x14ac:dyDescent="0.3">
      <c r="A33" s="37">
        <v>42247</v>
      </c>
      <c r="B33" s="30">
        <f t="shared" si="3"/>
        <v>449571</v>
      </c>
      <c r="C33" s="29">
        <v>20883</v>
      </c>
      <c r="D33" s="30">
        <f t="shared" si="1"/>
        <v>129817</v>
      </c>
      <c r="E33" s="31">
        <v>1987</v>
      </c>
      <c r="F33" s="31">
        <v>10318</v>
      </c>
      <c r="G33" s="31">
        <v>5609</v>
      </c>
      <c r="H33" s="31">
        <v>14518</v>
      </c>
      <c r="I33" s="31">
        <v>4006</v>
      </c>
      <c r="J33" s="31">
        <v>3968</v>
      </c>
      <c r="K33" s="31">
        <v>2430</v>
      </c>
      <c r="L33" s="31">
        <v>3470</v>
      </c>
      <c r="M33" s="31">
        <v>3965</v>
      </c>
      <c r="N33" s="31">
        <v>6458</v>
      </c>
      <c r="O33" s="31">
        <v>3947</v>
      </c>
      <c r="P33" s="31">
        <v>3416</v>
      </c>
      <c r="Q33" s="31">
        <v>8098</v>
      </c>
      <c r="R33" s="31">
        <v>1778</v>
      </c>
      <c r="S33" s="31">
        <v>55849</v>
      </c>
      <c r="T33" s="30">
        <f t="shared" ref="T33:T64" si="4">SUM(U33:AD33)</f>
        <v>298871</v>
      </c>
      <c r="U33" s="31">
        <v>7518</v>
      </c>
      <c r="V33" s="31">
        <v>53454</v>
      </c>
      <c r="W33" s="31">
        <v>7599</v>
      </c>
      <c r="X33" s="31">
        <v>36292</v>
      </c>
      <c r="Y33" s="31">
        <v>6706</v>
      </c>
      <c r="Z33" s="31">
        <v>4026</v>
      </c>
      <c r="AA33" s="31">
        <v>98590</v>
      </c>
      <c r="AB33" s="31">
        <v>9401</v>
      </c>
      <c r="AC33" s="31">
        <v>44338</v>
      </c>
      <c r="AD33" s="31">
        <v>30947</v>
      </c>
      <c r="AE33" s="31">
        <v>2528</v>
      </c>
    </row>
    <row r="34" spans="1:31" x14ac:dyDescent="0.3">
      <c r="A34" s="37">
        <v>42277</v>
      </c>
      <c r="B34" s="30">
        <f t="shared" si="3"/>
        <v>448281</v>
      </c>
      <c r="C34" s="29">
        <v>20883</v>
      </c>
      <c r="D34" s="30">
        <f t="shared" ref="D34:D65" si="5">SUM(E34:S34)</f>
        <v>127741</v>
      </c>
      <c r="E34" s="31">
        <v>2047</v>
      </c>
      <c r="F34" s="31">
        <v>10396</v>
      </c>
      <c r="G34" s="31">
        <v>5464</v>
      </c>
      <c r="H34" s="31">
        <v>14218</v>
      </c>
      <c r="I34" s="31">
        <v>3971</v>
      </c>
      <c r="J34" s="31">
        <v>3896</v>
      </c>
      <c r="K34" s="31">
        <v>2361</v>
      </c>
      <c r="L34" s="31">
        <v>3420</v>
      </c>
      <c r="M34" s="31">
        <v>3860</v>
      </c>
      <c r="N34" s="31">
        <v>6374</v>
      </c>
      <c r="O34" s="31">
        <v>3895</v>
      </c>
      <c r="P34" s="31">
        <v>3339</v>
      </c>
      <c r="Q34" s="31">
        <v>8031</v>
      </c>
      <c r="R34" s="31">
        <v>1752</v>
      </c>
      <c r="S34" s="31">
        <v>54717</v>
      </c>
      <c r="T34" s="30">
        <f t="shared" si="4"/>
        <v>299657</v>
      </c>
      <c r="U34" s="31">
        <v>7352</v>
      </c>
      <c r="V34" s="31">
        <v>53412</v>
      </c>
      <c r="W34" s="31">
        <v>7568</v>
      </c>
      <c r="X34" s="31">
        <v>36339</v>
      </c>
      <c r="Y34" s="31">
        <v>6761</v>
      </c>
      <c r="Z34" s="31">
        <v>4046</v>
      </c>
      <c r="AA34" s="31">
        <v>97797</v>
      </c>
      <c r="AB34" s="31">
        <v>9296</v>
      </c>
      <c r="AC34" s="31">
        <v>45856</v>
      </c>
      <c r="AD34" s="31">
        <v>31230</v>
      </c>
      <c r="AE34" s="31">
        <v>2912</v>
      </c>
    </row>
    <row r="35" spans="1:31" x14ac:dyDescent="0.3">
      <c r="A35" s="37">
        <v>42307</v>
      </c>
      <c r="B35" s="30">
        <f t="shared" si="3"/>
        <v>448236</v>
      </c>
      <c r="C35" s="29">
        <v>20883</v>
      </c>
      <c r="D35" s="30">
        <f t="shared" si="5"/>
        <v>127007</v>
      </c>
      <c r="E35" s="31">
        <v>2070</v>
      </c>
      <c r="F35" s="31">
        <v>10715</v>
      </c>
      <c r="G35" s="31">
        <v>5315</v>
      </c>
      <c r="H35" s="31">
        <v>14141</v>
      </c>
      <c r="I35" s="31">
        <v>3929</v>
      </c>
      <c r="J35" s="31">
        <v>3827</v>
      </c>
      <c r="K35" s="31">
        <v>2325</v>
      </c>
      <c r="L35" s="31">
        <v>3375</v>
      </c>
      <c r="M35" s="31">
        <v>3816</v>
      </c>
      <c r="N35" s="31">
        <v>6324</v>
      </c>
      <c r="O35" s="31">
        <v>3837</v>
      </c>
      <c r="P35" s="31">
        <v>3352</v>
      </c>
      <c r="Q35" s="31">
        <v>7803</v>
      </c>
      <c r="R35" s="31">
        <v>1792</v>
      </c>
      <c r="S35" s="31">
        <v>54386</v>
      </c>
      <c r="T35" s="30">
        <f t="shared" si="4"/>
        <v>300346</v>
      </c>
      <c r="U35" s="31">
        <v>7236</v>
      </c>
      <c r="V35" s="31">
        <v>53854</v>
      </c>
      <c r="W35" s="31">
        <v>7716</v>
      </c>
      <c r="X35" s="31">
        <v>39448</v>
      </c>
      <c r="Y35" s="31">
        <v>6751</v>
      </c>
      <c r="Z35" s="31">
        <v>4030</v>
      </c>
      <c r="AA35" s="31">
        <v>99635</v>
      </c>
      <c r="AB35" s="31">
        <v>9184</v>
      </c>
      <c r="AC35" s="31">
        <v>41043</v>
      </c>
      <c r="AD35" s="31">
        <v>31449</v>
      </c>
      <c r="AE35" s="31">
        <v>3889</v>
      </c>
    </row>
    <row r="36" spans="1:31" x14ac:dyDescent="0.3">
      <c r="A36" s="37">
        <v>42338</v>
      </c>
      <c r="B36" s="30">
        <f t="shared" si="3"/>
        <v>456485</v>
      </c>
      <c r="C36" s="29">
        <v>20883</v>
      </c>
      <c r="D36" s="30">
        <f t="shared" si="5"/>
        <v>127549</v>
      </c>
      <c r="E36" s="31">
        <v>2111</v>
      </c>
      <c r="F36" s="31">
        <v>10828</v>
      </c>
      <c r="G36" s="31">
        <v>5228</v>
      </c>
      <c r="H36" s="31">
        <v>13865</v>
      </c>
      <c r="I36" s="31">
        <v>3940</v>
      </c>
      <c r="J36" s="31">
        <v>3803</v>
      </c>
      <c r="K36" s="31">
        <v>2342</v>
      </c>
      <c r="L36" s="31">
        <v>3405</v>
      </c>
      <c r="M36" s="31">
        <v>3794</v>
      </c>
      <c r="N36" s="31">
        <v>6413</v>
      </c>
      <c r="O36" s="31">
        <v>3872</v>
      </c>
      <c r="P36" s="31">
        <v>3320</v>
      </c>
      <c r="Q36" s="31">
        <v>7725</v>
      </c>
      <c r="R36" s="31">
        <v>1846</v>
      </c>
      <c r="S36" s="31">
        <v>55057</v>
      </c>
      <c r="T36" s="30">
        <f t="shared" si="4"/>
        <v>308053</v>
      </c>
      <c r="U36" s="31">
        <v>7203</v>
      </c>
      <c r="V36" s="31">
        <v>53742</v>
      </c>
      <c r="W36" s="31">
        <v>8188</v>
      </c>
      <c r="X36" s="31">
        <v>44989</v>
      </c>
      <c r="Y36" s="31">
        <v>6825</v>
      </c>
      <c r="Z36" s="31">
        <v>4119</v>
      </c>
      <c r="AA36" s="31">
        <v>101672</v>
      </c>
      <c r="AB36" s="31">
        <v>9381</v>
      </c>
      <c r="AC36" s="31">
        <v>39613</v>
      </c>
      <c r="AD36" s="31">
        <v>32321</v>
      </c>
      <c r="AE36" s="31">
        <v>4325</v>
      </c>
    </row>
    <row r="37" spans="1:31" x14ac:dyDescent="0.3">
      <c r="A37" s="37">
        <v>42369</v>
      </c>
      <c r="B37" s="30">
        <f t="shared" si="3"/>
        <v>461250</v>
      </c>
      <c r="C37" s="29">
        <v>19805</v>
      </c>
      <c r="D37" s="30">
        <f t="shared" si="5"/>
        <v>129196</v>
      </c>
      <c r="E37" s="31">
        <v>2135</v>
      </c>
      <c r="F37" s="31">
        <v>10900</v>
      </c>
      <c r="G37" s="31">
        <v>5214</v>
      </c>
      <c r="H37" s="31">
        <v>13635</v>
      </c>
      <c r="I37" s="31">
        <v>4031</v>
      </c>
      <c r="J37" s="31">
        <v>3771</v>
      </c>
      <c r="K37" s="31">
        <v>2354</v>
      </c>
      <c r="L37" s="31">
        <v>3451</v>
      </c>
      <c r="M37" s="31">
        <v>3772</v>
      </c>
      <c r="N37" s="31">
        <v>6611</v>
      </c>
      <c r="O37" s="31">
        <v>3896</v>
      </c>
      <c r="P37" s="31">
        <v>3330</v>
      </c>
      <c r="Q37" s="31">
        <v>7714</v>
      </c>
      <c r="R37" s="31">
        <v>1843</v>
      </c>
      <c r="S37" s="31">
        <v>56539</v>
      </c>
      <c r="T37" s="30">
        <f t="shared" si="4"/>
        <v>312249</v>
      </c>
      <c r="U37" s="31">
        <v>7174</v>
      </c>
      <c r="V37" s="31">
        <v>53365</v>
      </c>
      <c r="W37" s="31">
        <v>8266</v>
      </c>
      <c r="X37" s="31">
        <v>45301</v>
      </c>
      <c r="Y37" s="31">
        <v>6937</v>
      </c>
      <c r="Z37" s="31">
        <v>4208</v>
      </c>
      <c r="AA37" s="31">
        <v>106624</v>
      </c>
      <c r="AB37" s="31">
        <v>9423</v>
      </c>
      <c r="AC37" s="31">
        <v>38848</v>
      </c>
      <c r="AD37" s="31">
        <v>32103</v>
      </c>
      <c r="AE37" s="31">
        <v>4669</v>
      </c>
    </row>
    <row r="38" spans="1:31" x14ac:dyDescent="0.3">
      <c r="A38" s="37">
        <v>42400</v>
      </c>
      <c r="B38" s="28">
        <f t="shared" ref="B38:B69" si="6">C38+D38+T38+AE38</f>
        <v>478672</v>
      </c>
      <c r="C38" s="29">
        <v>20287</v>
      </c>
      <c r="D38" s="30">
        <f t="shared" si="5"/>
        <v>131742</v>
      </c>
      <c r="E38" s="31">
        <v>2221</v>
      </c>
      <c r="F38" s="31">
        <v>11296</v>
      </c>
      <c r="G38" s="31">
        <v>5204</v>
      </c>
      <c r="H38" s="31">
        <v>13778</v>
      </c>
      <c r="I38" s="31">
        <v>4270</v>
      </c>
      <c r="J38" s="31">
        <v>3855</v>
      </c>
      <c r="K38" s="31">
        <v>2376</v>
      </c>
      <c r="L38" s="31">
        <v>3488</v>
      </c>
      <c r="M38" s="31">
        <v>3845</v>
      </c>
      <c r="N38" s="31">
        <v>6680</v>
      </c>
      <c r="O38" s="31">
        <v>3980</v>
      </c>
      <c r="P38" s="31">
        <v>3362</v>
      </c>
      <c r="Q38" s="31">
        <v>7821</v>
      </c>
      <c r="R38" s="31">
        <v>1954</v>
      </c>
      <c r="S38" s="31">
        <v>57612</v>
      </c>
      <c r="T38" s="30">
        <f t="shared" si="4"/>
        <v>321598</v>
      </c>
      <c r="U38" s="31">
        <v>7237</v>
      </c>
      <c r="V38" s="31">
        <v>55877</v>
      </c>
      <c r="W38" s="31">
        <v>8528</v>
      </c>
      <c r="X38" s="31">
        <v>47340</v>
      </c>
      <c r="Y38" s="31">
        <v>7181</v>
      </c>
      <c r="Z38" s="31">
        <v>4430</v>
      </c>
      <c r="AA38" s="31">
        <v>108682</v>
      </c>
      <c r="AB38" s="31">
        <v>9778</v>
      </c>
      <c r="AC38" s="31">
        <v>39346</v>
      </c>
      <c r="AD38" s="31">
        <v>33199</v>
      </c>
      <c r="AE38" s="31">
        <v>5045</v>
      </c>
    </row>
    <row r="39" spans="1:31" x14ac:dyDescent="0.3">
      <c r="A39" s="37">
        <v>42428</v>
      </c>
      <c r="B39" s="28">
        <f t="shared" si="6"/>
        <v>483554</v>
      </c>
      <c r="C39" s="29">
        <v>20732</v>
      </c>
      <c r="D39" s="30">
        <f t="shared" si="5"/>
        <v>132326</v>
      </c>
      <c r="E39" s="31">
        <v>2237</v>
      </c>
      <c r="F39" s="31">
        <v>11428</v>
      </c>
      <c r="G39" s="31">
        <v>5214</v>
      </c>
      <c r="H39" s="31">
        <v>13853</v>
      </c>
      <c r="I39" s="31">
        <v>4287</v>
      </c>
      <c r="J39" s="31">
        <v>3894</v>
      </c>
      <c r="K39" s="31">
        <v>2432</v>
      </c>
      <c r="L39" s="31">
        <v>3496</v>
      </c>
      <c r="M39" s="31">
        <v>3850</v>
      </c>
      <c r="N39" s="31">
        <v>6685</v>
      </c>
      <c r="O39" s="31">
        <v>4044</v>
      </c>
      <c r="P39" s="31">
        <v>3416</v>
      </c>
      <c r="Q39" s="31">
        <v>7784</v>
      </c>
      <c r="R39" s="31">
        <v>2002</v>
      </c>
      <c r="S39" s="31">
        <v>57704</v>
      </c>
      <c r="T39" s="30">
        <f t="shared" si="4"/>
        <v>325163</v>
      </c>
      <c r="U39" s="31">
        <v>7214</v>
      </c>
      <c r="V39" s="31">
        <v>57031</v>
      </c>
      <c r="W39" s="31">
        <v>8505</v>
      </c>
      <c r="X39" s="31">
        <v>47335</v>
      </c>
      <c r="Y39" s="31">
        <v>7326</v>
      </c>
      <c r="Z39" s="31">
        <v>4501</v>
      </c>
      <c r="AA39" s="31">
        <v>110608</v>
      </c>
      <c r="AB39" s="31">
        <v>9907</v>
      </c>
      <c r="AC39" s="31">
        <v>39412</v>
      </c>
      <c r="AD39" s="31">
        <v>33324</v>
      </c>
      <c r="AE39" s="31">
        <v>5333</v>
      </c>
    </row>
    <row r="40" spans="1:31" x14ac:dyDescent="0.3">
      <c r="A40" s="37">
        <v>42460</v>
      </c>
      <c r="B40" s="28">
        <f t="shared" si="6"/>
        <v>482701</v>
      </c>
      <c r="C40" s="29">
        <v>21105</v>
      </c>
      <c r="D40" s="30">
        <f t="shared" si="5"/>
        <v>131993</v>
      </c>
      <c r="E40" s="31">
        <v>2270</v>
      </c>
      <c r="F40" s="31">
        <v>11470</v>
      </c>
      <c r="G40" s="31">
        <v>5145</v>
      </c>
      <c r="H40" s="31">
        <v>13817</v>
      </c>
      <c r="I40" s="31">
        <v>4341</v>
      </c>
      <c r="J40" s="31">
        <v>3888</v>
      </c>
      <c r="K40" s="31">
        <v>2466</v>
      </c>
      <c r="L40" s="31">
        <v>3443</v>
      </c>
      <c r="M40" s="31">
        <v>3827</v>
      </c>
      <c r="N40" s="31">
        <v>6650</v>
      </c>
      <c r="O40" s="31">
        <v>4069</v>
      </c>
      <c r="P40" s="31">
        <v>3351</v>
      </c>
      <c r="Q40" s="31">
        <v>7813</v>
      </c>
      <c r="R40" s="31">
        <v>1996</v>
      </c>
      <c r="S40" s="31">
        <v>57447</v>
      </c>
      <c r="T40" s="30">
        <f t="shared" si="4"/>
        <v>324196</v>
      </c>
      <c r="U40" s="31">
        <v>7131</v>
      </c>
      <c r="V40" s="31">
        <v>57741</v>
      </c>
      <c r="W40" s="31">
        <v>8270</v>
      </c>
      <c r="X40" s="31">
        <v>45380</v>
      </c>
      <c r="Y40" s="31">
        <v>7355</v>
      </c>
      <c r="Z40" s="31">
        <v>4443</v>
      </c>
      <c r="AA40" s="31">
        <v>111176</v>
      </c>
      <c r="AB40" s="31">
        <v>10052</v>
      </c>
      <c r="AC40" s="31">
        <v>39468</v>
      </c>
      <c r="AD40" s="31">
        <v>33180</v>
      </c>
      <c r="AE40" s="31">
        <v>5407</v>
      </c>
    </row>
    <row r="41" spans="1:31" x14ac:dyDescent="0.3">
      <c r="A41" s="37">
        <v>42490</v>
      </c>
      <c r="B41" s="28">
        <f t="shared" si="6"/>
        <v>471846</v>
      </c>
      <c r="C41" s="29">
        <v>20435</v>
      </c>
      <c r="D41" s="30">
        <f t="shared" si="5"/>
        <v>129104</v>
      </c>
      <c r="E41" s="31">
        <v>2249</v>
      </c>
      <c r="F41" s="31">
        <v>11324</v>
      </c>
      <c r="G41" s="31">
        <v>5092</v>
      </c>
      <c r="H41" s="31">
        <v>13783</v>
      </c>
      <c r="I41" s="31">
        <v>4284</v>
      </c>
      <c r="J41" s="31">
        <v>3833</v>
      </c>
      <c r="K41" s="31">
        <v>2397</v>
      </c>
      <c r="L41" s="31">
        <v>3353</v>
      </c>
      <c r="M41" s="31">
        <v>3760</v>
      </c>
      <c r="N41" s="31">
        <v>6480</v>
      </c>
      <c r="O41" s="31">
        <v>4005</v>
      </c>
      <c r="P41" s="31">
        <v>3309</v>
      </c>
      <c r="Q41" s="31">
        <v>7671</v>
      </c>
      <c r="R41" s="31">
        <v>1994</v>
      </c>
      <c r="S41" s="31">
        <v>55570</v>
      </c>
      <c r="T41" s="30">
        <f t="shared" si="4"/>
        <v>316933</v>
      </c>
      <c r="U41" s="31">
        <v>7040</v>
      </c>
      <c r="V41" s="31">
        <v>57224</v>
      </c>
      <c r="W41" s="31">
        <v>7977</v>
      </c>
      <c r="X41" s="31">
        <v>43328</v>
      </c>
      <c r="Y41" s="31">
        <v>7219</v>
      </c>
      <c r="Z41" s="31">
        <v>4360</v>
      </c>
      <c r="AA41" s="31">
        <v>108597</v>
      </c>
      <c r="AB41" s="31">
        <v>10004</v>
      </c>
      <c r="AC41" s="31">
        <v>38779</v>
      </c>
      <c r="AD41" s="31">
        <v>32405</v>
      </c>
      <c r="AE41" s="31">
        <v>5374</v>
      </c>
    </row>
    <row r="42" spans="1:31" x14ac:dyDescent="0.3">
      <c r="A42" s="37">
        <v>42521</v>
      </c>
      <c r="B42" s="28">
        <f t="shared" si="6"/>
        <v>448707</v>
      </c>
      <c r="C42" s="29">
        <v>18688</v>
      </c>
      <c r="D42" s="30">
        <f t="shared" si="5"/>
        <v>123373</v>
      </c>
      <c r="E42" s="31">
        <v>2171</v>
      </c>
      <c r="F42" s="31">
        <v>10596</v>
      </c>
      <c r="G42" s="31">
        <v>4878</v>
      </c>
      <c r="H42" s="31">
        <v>13327</v>
      </c>
      <c r="I42" s="31">
        <v>4217</v>
      </c>
      <c r="J42" s="31">
        <v>3790</v>
      </c>
      <c r="K42" s="31">
        <v>2268</v>
      </c>
      <c r="L42" s="31">
        <v>3218</v>
      </c>
      <c r="M42" s="31">
        <v>3549</v>
      </c>
      <c r="N42" s="31">
        <v>6241</v>
      </c>
      <c r="O42" s="31">
        <v>3788</v>
      </c>
      <c r="P42" s="31">
        <v>3146</v>
      </c>
      <c r="Q42" s="31">
        <v>7436</v>
      </c>
      <c r="R42" s="31">
        <v>1914</v>
      </c>
      <c r="S42" s="31">
        <v>52834</v>
      </c>
      <c r="T42" s="30">
        <f t="shared" si="4"/>
        <v>301639</v>
      </c>
      <c r="U42" s="31">
        <v>6794</v>
      </c>
      <c r="V42" s="31">
        <v>54723</v>
      </c>
      <c r="W42" s="31">
        <v>7514</v>
      </c>
      <c r="X42" s="31">
        <v>39484</v>
      </c>
      <c r="Y42" s="31">
        <v>6844</v>
      </c>
      <c r="Z42" s="31">
        <v>4295</v>
      </c>
      <c r="AA42" s="31">
        <v>104530</v>
      </c>
      <c r="AB42" s="31">
        <v>9624</v>
      </c>
      <c r="AC42" s="31">
        <v>37112</v>
      </c>
      <c r="AD42" s="31">
        <v>30719</v>
      </c>
      <c r="AE42" s="31">
        <v>5007</v>
      </c>
    </row>
    <row r="43" spans="1:31" x14ac:dyDescent="0.3">
      <c r="A43" s="37">
        <v>42551</v>
      </c>
      <c r="B43" s="28">
        <f t="shared" si="6"/>
        <v>429286</v>
      </c>
      <c r="C43" s="29">
        <v>17623</v>
      </c>
      <c r="D43" s="30">
        <f t="shared" si="5"/>
        <v>116975</v>
      </c>
      <c r="E43" s="31">
        <v>2039</v>
      </c>
      <c r="F43" s="31">
        <v>10013</v>
      </c>
      <c r="G43" s="31">
        <v>4685</v>
      </c>
      <c r="H43" s="31">
        <v>12586</v>
      </c>
      <c r="I43" s="31">
        <v>3896</v>
      </c>
      <c r="J43" s="31">
        <v>3582</v>
      </c>
      <c r="K43" s="31">
        <v>2228</v>
      </c>
      <c r="L43" s="31">
        <v>3060</v>
      </c>
      <c r="M43" s="31">
        <v>3328</v>
      </c>
      <c r="N43" s="31">
        <v>6047</v>
      </c>
      <c r="O43" s="31">
        <v>3635</v>
      </c>
      <c r="P43" s="31">
        <v>2931</v>
      </c>
      <c r="Q43" s="31">
        <v>7083</v>
      </c>
      <c r="R43" s="31">
        <v>1821</v>
      </c>
      <c r="S43" s="31">
        <v>50041</v>
      </c>
      <c r="T43" s="30">
        <f t="shared" si="4"/>
        <v>289936</v>
      </c>
      <c r="U43" s="31">
        <v>6537</v>
      </c>
      <c r="V43" s="31">
        <v>51503</v>
      </c>
      <c r="W43" s="31">
        <v>7200</v>
      </c>
      <c r="X43" s="31">
        <v>36899</v>
      </c>
      <c r="Y43" s="31">
        <v>6551</v>
      </c>
      <c r="Z43" s="31">
        <v>4152</v>
      </c>
      <c r="AA43" s="31">
        <v>101575</v>
      </c>
      <c r="AB43" s="31">
        <v>9317</v>
      </c>
      <c r="AC43" s="31">
        <v>37003</v>
      </c>
      <c r="AD43" s="31">
        <v>29199</v>
      </c>
      <c r="AE43" s="31">
        <v>4752</v>
      </c>
    </row>
    <row r="44" spans="1:31" x14ac:dyDescent="0.3">
      <c r="A44" s="37">
        <v>42582</v>
      </c>
      <c r="B44" s="28">
        <f t="shared" si="6"/>
        <v>417517</v>
      </c>
      <c r="C44" s="29">
        <v>17288</v>
      </c>
      <c r="D44" s="30">
        <f t="shared" si="5"/>
        <v>112818</v>
      </c>
      <c r="E44" s="31">
        <v>2010</v>
      </c>
      <c r="F44" s="31">
        <v>9598</v>
      </c>
      <c r="G44" s="31">
        <v>4586</v>
      </c>
      <c r="H44" s="31">
        <v>12210</v>
      </c>
      <c r="I44" s="31">
        <v>3777</v>
      </c>
      <c r="J44" s="31">
        <v>3472</v>
      </c>
      <c r="K44" s="31">
        <v>2248</v>
      </c>
      <c r="L44" s="31">
        <v>2974</v>
      </c>
      <c r="M44" s="31">
        <v>3166</v>
      </c>
      <c r="N44" s="31">
        <v>5796</v>
      </c>
      <c r="O44" s="31">
        <v>3527</v>
      </c>
      <c r="P44" s="31">
        <v>2898</v>
      </c>
      <c r="Q44" s="31">
        <v>6801</v>
      </c>
      <c r="R44" s="31">
        <v>1769</v>
      </c>
      <c r="S44" s="31">
        <v>47986</v>
      </c>
      <c r="T44" s="30">
        <f t="shared" si="4"/>
        <v>282871</v>
      </c>
      <c r="U44" s="31">
        <v>6348</v>
      </c>
      <c r="V44" s="31">
        <v>49394</v>
      </c>
      <c r="W44" s="31">
        <v>6997</v>
      </c>
      <c r="X44" s="31">
        <v>34666</v>
      </c>
      <c r="Y44" s="31">
        <v>6431</v>
      </c>
      <c r="Z44" s="31">
        <v>4112</v>
      </c>
      <c r="AA44" s="31">
        <v>99228</v>
      </c>
      <c r="AB44" s="31">
        <v>9127</v>
      </c>
      <c r="AC44" s="31">
        <v>38211</v>
      </c>
      <c r="AD44" s="31">
        <v>28357</v>
      </c>
      <c r="AE44" s="31">
        <v>4540</v>
      </c>
    </row>
    <row r="45" spans="1:31" x14ac:dyDescent="0.3">
      <c r="A45" s="37">
        <v>42613</v>
      </c>
      <c r="B45" s="28">
        <f t="shared" si="6"/>
        <v>416878</v>
      </c>
      <c r="C45" s="29">
        <v>17337</v>
      </c>
      <c r="D45" s="30">
        <f t="shared" si="5"/>
        <v>111331</v>
      </c>
      <c r="E45" s="31">
        <v>2032</v>
      </c>
      <c r="F45" s="31">
        <v>9472</v>
      </c>
      <c r="G45" s="31">
        <v>4604</v>
      </c>
      <c r="H45" s="31">
        <v>12284</v>
      </c>
      <c r="I45" s="31">
        <v>3823</v>
      </c>
      <c r="J45" s="31">
        <v>3439</v>
      </c>
      <c r="K45" s="31">
        <v>2219</v>
      </c>
      <c r="L45" s="31">
        <v>3028</v>
      </c>
      <c r="M45" s="31">
        <v>3139</v>
      </c>
      <c r="N45" s="31">
        <v>5731</v>
      </c>
      <c r="O45" s="31">
        <v>3487</v>
      </c>
      <c r="P45" s="31">
        <v>2920</v>
      </c>
      <c r="Q45" s="31">
        <v>6674</v>
      </c>
      <c r="R45" s="31">
        <v>1715</v>
      </c>
      <c r="S45" s="31">
        <v>46764</v>
      </c>
      <c r="T45" s="30">
        <f t="shared" si="4"/>
        <v>283714</v>
      </c>
      <c r="U45" s="31">
        <v>6292</v>
      </c>
      <c r="V45" s="31">
        <v>48887</v>
      </c>
      <c r="W45" s="31">
        <v>6908</v>
      </c>
      <c r="X45" s="31">
        <v>33994</v>
      </c>
      <c r="Y45" s="31">
        <v>6409</v>
      </c>
      <c r="Z45" s="31">
        <v>4073</v>
      </c>
      <c r="AA45" s="31">
        <v>99805</v>
      </c>
      <c r="AB45" s="31">
        <v>9163</v>
      </c>
      <c r="AC45" s="31">
        <v>39755</v>
      </c>
      <c r="AD45" s="31">
        <v>28428</v>
      </c>
      <c r="AE45" s="31">
        <v>4496</v>
      </c>
    </row>
    <row r="46" spans="1:31" x14ac:dyDescent="0.3">
      <c r="A46" s="37">
        <v>42643</v>
      </c>
      <c r="B46" s="28">
        <f t="shared" si="6"/>
        <v>408136</v>
      </c>
      <c r="C46" s="29">
        <v>16764</v>
      </c>
      <c r="D46" s="30">
        <f t="shared" si="5"/>
        <v>108740</v>
      </c>
      <c r="E46" s="31">
        <v>1972</v>
      </c>
      <c r="F46" s="31">
        <v>9328</v>
      </c>
      <c r="G46" s="31">
        <v>4548</v>
      </c>
      <c r="H46" s="31">
        <v>12061</v>
      </c>
      <c r="I46" s="31">
        <v>3833</v>
      </c>
      <c r="J46" s="31">
        <v>3379</v>
      </c>
      <c r="K46" s="31">
        <v>2170</v>
      </c>
      <c r="L46" s="31">
        <v>2937</v>
      </c>
      <c r="M46" s="31">
        <v>3035</v>
      </c>
      <c r="N46" s="31">
        <v>5517</v>
      </c>
      <c r="O46" s="31">
        <v>3416</v>
      </c>
      <c r="P46" s="31">
        <v>2912</v>
      </c>
      <c r="Q46" s="31">
        <v>6555</v>
      </c>
      <c r="R46" s="31">
        <v>1691</v>
      </c>
      <c r="S46" s="31">
        <v>45386</v>
      </c>
      <c r="T46" s="30">
        <f t="shared" si="4"/>
        <v>278082</v>
      </c>
      <c r="U46" s="31">
        <v>6127</v>
      </c>
      <c r="V46" s="31">
        <v>48422</v>
      </c>
      <c r="W46" s="31">
        <v>6751</v>
      </c>
      <c r="X46" s="31">
        <v>33290</v>
      </c>
      <c r="Y46" s="31">
        <v>6308</v>
      </c>
      <c r="Z46" s="31">
        <v>4020</v>
      </c>
      <c r="AA46" s="31">
        <v>96799</v>
      </c>
      <c r="AB46" s="31">
        <v>9051</v>
      </c>
      <c r="AC46" s="31">
        <v>39162</v>
      </c>
      <c r="AD46" s="31">
        <v>28152</v>
      </c>
      <c r="AE46" s="31">
        <v>4550</v>
      </c>
    </row>
    <row r="47" spans="1:31" x14ac:dyDescent="0.3">
      <c r="A47" s="37">
        <v>42673</v>
      </c>
      <c r="B47" s="28">
        <f t="shared" si="6"/>
        <v>407485</v>
      </c>
      <c r="C47" s="29">
        <v>17963</v>
      </c>
      <c r="D47" s="30">
        <f t="shared" si="5"/>
        <v>107270</v>
      </c>
      <c r="E47" s="31">
        <v>1973</v>
      </c>
      <c r="F47" s="31">
        <v>9625</v>
      </c>
      <c r="G47" s="31">
        <v>4525</v>
      </c>
      <c r="H47" s="31">
        <v>11744</v>
      </c>
      <c r="I47" s="31">
        <v>3802</v>
      </c>
      <c r="J47" s="31">
        <v>3322</v>
      </c>
      <c r="K47" s="31">
        <v>2177</v>
      </c>
      <c r="L47" s="31">
        <v>2931</v>
      </c>
      <c r="M47" s="31">
        <v>2950</v>
      </c>
      <c r="N47" s="31">
        <v>5416</v>
      </c>
      <c r="O47" s="31">
        <v>3424</v>
      </c>
      <c r="P47" s="31">
        <v>2864</v>
      </c>
      <c r="Q47" s="31">
        <v>6449</v>
      </c>
      <c r="R47" s="31">
        <v>1689</v>
      </c>
      <c r="S47" s="31">
        <v>44379</v>
      </c>
      <c r="T47" s="30">
        <f t="shared" si="4"/>
        <v>277773</v>
      </c>
      <c r="U47" s="31">
        <v>6018</v>
      </c>
      <c r="V47" s="31">
        <v>48341</v>
      </c>
      <c r="W47" s="31">
        <v>6786</v>
      </c>
      <c r="X47" s="31">
        <v>35507</v>
      </c>
      <c r="Y47" s="31">
        <v>6193</v>
      </c>
      <c r="Z47" s="31">
        <v>3925</v>
      </c>
      <c r="AA47" s="31">
        <v>97083</v>
      </c>
      <c r="AB47" s="31">
        <v>9001</v>
      </c>
      <c r="AC47" s="31">
        <v>36561</v>
      </c>
      <c r="AD47" s="31">
        <v>28358</v>
      </c>
      <c r="AE47" s="31">
        <v>4479</v>
      </c>
    </row>
    <row r="48" spans="1:31" x14ac:dyDescent="0.3">
      <c r="A48" s="37">
        <v>42704</v>
      </c>
      <c r="B48" s="28">
        <f t="shared" si="6"/>
        <v>405933</v>
      </c>
      <c r="C48" s="29">
        <v>18504</v>
      </c>
      <c r="D48" s="30">
        <f t="shared" si="5"/>
        <v>104647</v>
      </c>
      <c r="E48" s="31">
        <v>1945</v>
      </c>
      <c r="F48" s="31">
        <v>9579</v>
      </c>
      <c r="G48" s="31">
        <v>4433</v>
      </c>
      <c r="H48" s="31">
        <v>11364</v>
      </c>
      <c r="I48" s="31">
        <v>3631</v>
      </c>
      <c r="J48" s="31">
        <v>3267</v>
      </c>
      <c r="K48" s="31">
        <v>2098</v>
      </c>
      <c r="L48" s="31">
        <v>2809</v>
      </c>
      <c r="M48" s="31">
        <v>2830</v>
      </c>
      <c r="N48" s="31">
        <v>5259</v>
      </c>
      <c r="O48" s="31">
        <v>3341</v>
      </c>
      <c r="P48" s="31">
        <v>2794</v>
      </c>
      <c r="Q48" s="31">
        <v>6283</v>
      </c>
      <c r="R48" s="31">
        <v>1648</v>
      </c>
      <c r="S48" s="31">
        <v>43366</v>
      </c>
      <c r="T48" s="30">
        <f t="shared" si="4"/>
        <v>278600</v>
      </c>
      <c r="U48" s="31">
        <v>5907</v>
      </c>
      <c r="V48" s="31">
        <v>47272</v>
      </c>
      <c r="W48" s="31">
        <v>7126</v>
      </c>
      <c r="X48" s="31">
        <v>40602</v>
      </c>
      <c r="Y48" s="31">
        <v>5947</v>
      </c>
      <c r="Z48" s="31">
        <v>3934</v>
      </c>
      <c r="AA48" s="31">
        <v>96165</v>
      </c>
      <c r="AB48" s="31">
        <v>8717</v>
      </c>
      <c r="AC48" s="31">
        <v>34335</v>
      </c>
      <c r="AD48" s="31">
        <v>28595</v>
      </c>
      <c r="AE48" s="31">
        <v>4182</v>
      </c>
    </row>
    <row r="49" spans="1:31" x14ac:dyDescent="0.3">
      <c r="A49" s="37">
        <v>42735</v>
      </c>
      <c r="B49" s="28">
        <f t="shared" si="6"/>
        <v>405422</v>
      </c>
      <c r="C49" s="29">
        <v>18333</v>
      </c>
      <c r="D49" s="30">
        <f t="shared" si="5"/>
        <v>104755</v>
      </c>
      <c r="E49" s="31">
        <v>1910</v>
      </c>
      <c r="F49" s="31">
        <v>9392</v>
      </c>
      <c r="G49" s="31">
        <v>4348</v>
      </c>
      <c r="H49" s="31">
        <v>11114</v>
      </c>
      <c r="I49" s="31">
        <v>3550</v>
      </c>
      <c r="J49" s="31">
        <v>3285</v>
      </c>
      <c r="K49" s="31">
        <v>2048</v>
      </c>
      <c r="L49" s="31">
        <v>2844</v>
      </c>
      <c r="M49" s="31">
        <v>2782</v>
      </c>
      <c r="N49" s="31">
        <v>5347</v>
      </c>
      <c r="O49" s="31">
        <v>3344</v>
      </c>
      <c r="P49" s="31">
        <v>2787</v>
      </c>
      <c r="Q49" s="31">
        <v>6196</v>
      </c>
      <c r="R49" s="31">
        <v>1628</v>
      </c>
      <c r="S49" s="31">
        <v>44180</v>
      </c>
      <c r="T49" s="30">
        <f t="shared" si="4"/>
        <v>278250</v>
      </c>
      <c r="U49" s="31">
        <v>5789</v>
      </c>
      <c r="V49" s="31">
        <v>46062</v>
      </c>
      <c r="W49" s="31">
        <v>7141</v>
      </c>
      <c r="X49" s="31">
        <v>40764</v>
      </c>
      <c r="Y49" s="31">
        <v>5865</v>
      </c>
      <c r="Z49" s="31">
        <v>3897</v>
      </c>
      <c r="AA49" s="31">
        <v>98608</v>
      </c>
      <c r="AB49" s="31">
        <v>8616</v>
      </c>
      <c r="AC49" s="31">
        <v>33298</v>
      </c>
      <c r="AD49" s="31">
        <v>28210</v>
      </c>
      <c r="AE49" s="31">
        <v>4084</v>
      </c>
    </row>
    <row r="50" spans="1:31" x14ac:dyDescent="0.3">
      <c r="A50" s="37">
        <v>42766</v>
      </c>
      <c r="B50" s="32">
        <f t="shared" si="6"/>
        <v>415730</v>
      </c>
      <c r="C50" s="33">
        <v>18741</v>
      </c>
      <c r="D50" s="30">
        <f t="shared" si="5"/>
        <v>105959</v>
      </c>
      <c r="E50" s="34">
        <v>1947</v>
      </c>
      <c r="F50" s="34">
        <v>9771</v>
      </c>
      <c r="G50" s="34">
        <v>4344</v>
      </c>
      <c r="H50" s="34">
        <v>11185</v>
      </c>
      <c r="I50" s="34">
        <v>3657</v>
      </c>
      <c r="J50" s="34">
        <v>3370</v>
      </c>
      <c r="K50" s="34">
        <v>2103</v>
      </c>
      <c r="L50" s="34">
        <v>2839</v>
      </c>
      <c r="M50" s="34">
        <v>2822</v>
      </c>
      <c r="N50" s="34">
        <v>5386</v>
      </c>
      <c r="O50" s="34">
        <v>3410</v>
      </c>
      <c r="P50" s="34">
        <v>2846</v>
      </c>
      <c r="Q50" s="34">
        <v>6275</v>
      </c>
      <c r="R50" s="34">
        <v>1670</v>
      </c>
      <c r="S50" s="34">
        <v>44334</v>
      </c>
      <c r="T50" s="30">
        <f t="shared" si="4"/>
        <v>286829</v>
      </c>
      <c r="U50" s="34">
        <v>5889</v>
      </c>
      <c r="V50" s="34">
        <v>48106</v>
      </c>
      <c r="W50" s="34">
        <v>7309</v>
      </c>
      <c r="X50" s="34">
        <v>42495</v>
      </c>
      <c r="Y50" s="34">
        <v>6032</v>
      </c>
      <c r="Z50" s="34">
        <v>4180</v>
      </c>
      <c r="AA50" s="34">
        <v>100674</v>
      </c>
      <c r="AB50" s="34">
        <v>8858</v>
      </c>
      <c r="AC50" s="34">
        <v>34162</v>
      </c>
      <c r="AD50" s="34">
        <v>29124</v>
      </c>
      <c r="AE50" s="34">
        <v>4201</v>
      </c>
    </row>
    <row r="51" spans="1:31" x14ac:dyDescent="0.3">
      <c r="A51" s="37">
        <v>42794</v>
      </c>
      <c r="B51" s="32">
        <f t="shared" si="6"/>
        <v>409015</v>
      </c>
      <c r="C51" s="33">
        <v>18228</v>
      </c>
      <c r="D51" s="30">
        <f t="shared" si="5"/>
        <v>103904</v>
      </c>
      <c r="E51" s="34">
        <v>1907</v>
      </c>
      <c r="F51" s="34">
        <v>9677</v>
      </c>
      <c r="G51" s="34">
        <v>4295</v>
      </c>
      <c r="H51" s="34">
        <v>11066</v>
      </c>
      <c r="I51" s="34">
        <v>3545</v>
      </c>
      <c r="J51" s="34">
        <v>3308</v>
      </c>
      <c r="K51" s="34">
        <v>2079</v>
      </c>
      <c r="L51" s="34">
        <v>2791</v>
      </c>
      <c r="M51" s="34">
        <v>2824</v>
      </c>
      <c r="N51" s="34">
        <v>5279</v>
      </c>
      <c r="O51" s="34">
        <v>3295</v>
      </c>
      <c r="P51" s="34">
        <v>2752</v>
      </c>
      <c r="Q51" s="34">
        <v>6149</v>
      </c>
      <c r="R51" s="34">
        <v>1630</v>
      </c>
      <c r="S51" s="34">
        <v>43307</v>
      </c>
      <c r="T51" s="30">
        <f t="shared" si="4"/>
        <v>282707</v>
      </c>
      <c r="U51" s="34">
        <v>5717</v>
      </c>
      <c r="V51" s="34">
        <v>48034</v>
      </c>
      <c r="W51" s="34">
        <v>7120</v>
      </c>
      <c r="X51" s="34">
        <v>40869</v>
      </c>
      <c r="Y51" s="34">
        <v>5980</v>
      </c>
      <c r="Z51" s="34">
        <v>4175</v>
      </c>
      <c r="AA51" s="34">
        <v>99897</v>
      </c>
      <c r="AB51" s="34">
        <v>8702</v>
      </c>
      <c r="AC51" s="34">
        <v>33553</v>
      </c>
      <c r="AD51" s="34">
        <v>28660</v>
      </c>
      <c r="AE51" s="34">
        <v>4176</v>
      </c>
    </row>
    <row r="52" spans="1:31" x14ac:dyDescent="0.3">
      <c r="A52" s="37">
        <v>42825</v>
      </c>
      <c r="B52" s="32">
        <f t="shared" si="6"/>
        <v>394520</v>
      </c>
      <c r="C52" s="33">
        <v>18446</v>
      </c>
      <c r="D52" s="30">
        <f t="shared" si="5"/>
        <v>100029</v>
      </c>
      <c r="E52" s="34">
        <v>1938</v>
      </c>
      <c r="F52" s="34">
        <v>9328</v>
      </c>
      <c r="G52" s="34">
        <v>4184</v>
      </c>
      <c r="H52" s="34">
        <v>10840</v>
      </c>
      <c r="I52" s="34">
        <v>3548</v>
      </c>
      <c r="J52" s="34">
        <v>3172</v>
      </c>
      <c r="K52" s="34">
        <v>2001</v>
      </c>
      <c r="L52" s="34">
        <v>2701</v>
      </c>
      <c r="M52" s="34">
        <v>2675</v>
      </c>
      <c r="N52" s="34">
        <v>5089</v>
      </c>
      <c r="O52" s="34">
        <v>3185</v>
      </c>
      <c r="P52" s="34">
        <v>2635</v>
      </c>
      <c r="Q52" s="34">
        <v>5917</v>
      </c>
      <c r="R52" s="34">
        <v>1610</v>
      </c>
      <c r="S52" s="34">
        <v>41206</v>
      </c>
      <c r="T52" s="30">
        <f t="shared" si="4"/>
        <v>271760</v>
      </c>
      <c r="U52" s="34">
        <v>5578</v>
      </c>
      <c r="V52" s="34">
        <v>46728</v>
      </c>
      <c r="W52" s="34">
        <v>6708</v>
      </c>
      <c r="X52" s="34">
        <v>37408</v>
      </c>
      <c r="Y52" s="34">
        <v>5819</v>
      </c>
      <c r="Z52" s="34">
        <v>4070</v>
      </c>
      <c r="AA52" s="34">
        <v>96912</v>
      </c>
      <c r="AB52" s="34">
        <v>8390</v>
      </c>
      <c r="AC52" s="34">
        <v>32384</v>
      </c>
      <c r="AD52" s="34">
        <v>27763</v>
      </c>
      <c r="AE52" s="34">
        <v>4285</v>
      </c>
    </row>
    <row r="53" spans="1:31" x14ac:dyDescent="0.3">
      <c r="A53" s="37">
        <v>42855</v>
      </c>
      <c r="B53" s="32">
        <f t="shared" si="6"/>
        <v>377633</v>
      </c>
      <c r="C53" s="29">
        <v>17241</v>
      </c>
      <c r="D53" s="30">
        <f t="shared" si="5"/>
        <v>96331</v>
      </c>
      <c r="E53" s="31">
        <v>1906</v>
      </c>
      <c r="F53" s="31">
        <v>8880</v>
      </c>
      <c r="G53" s="31">
        <v>4097</v>
      </c>
      <c r="H53" s="31">
        <v>10687</v>
      </c>
      <c r="I53" s="31">
        <v>3487</v>
      </c>
      <c r="J53" s="31">
        <v>3091</v>
      </c>
      <c r="K53" s="31">
        <v>1942</v>
      </c>
      <c r="L53" s="31">
        <v>2614</v>
      </c>
      <c r="M53" s="31">
        <v>2592</v>
      </c>
      <c r="N53" s="31">
        <v>4892</v>
      </c>
      <c r="O53" s="31">
        <v>3112</v>
      </c>
      <c r="P53" s="31">
        <v>2573</v>
      </c>
      <c r="Q53" s="31">
        <v>5769</v>
      </c>
      <c r="R53" s="31">
        <v>1521</v>
      </c>
      <c r="S53" s="31">
        <v>39168</v>
      </c>
      <c r="T53" s="30">
        <f t="shared" si="4"/>
        <v>259867</v>
      </c>
      <c r="U53" s="31">
        <v>5443</v>
      </c>
      <c r="V53" s="31">
        <v>44984</v>
      </c>
      <c r="W53" s="31">
        <v>6329</v>
      </c>
      <c r="X53" s="31">
        <v>34106</v>
      </c>
      <c r="Y53" s="31">
        <v>5646</v>
      </c>
      <c r="Z53" s="31">
        <v>3984</v>
      </c>
      <c r="AA53" s="31">
        <v>93332</v>
      </c>
      <c r="AB53" s="31">
        <v>8181</v>
      </c>
      <c r="AC53" s="31">
        <v>31380</v>
      </c>
      <c r="AD53" s="31">
        <v>26482</v>
      </c>
      <c r="AE53" s="31">
        <v>4194</v>
      </c>
    </row>
    <row r="54" spans="1:31" x14ac:dyDescent="0.3">
      <c r="A54" s="37">
        <v>42886</v>
      </c>
      <c r="B54" s="32">
        <f t="shared" si="6"/>
        <v>361680</v>
      </c>
      <c r="C54" s="33">
        <v>15690</v>
      </c>
      <c r="D54" s="30">
        <f t="shared" si="5"/>
        <v>92464</v>
      </c>
      <c r="E54" s="34">
        <v>1839</v>
      </c>
      <c r="F54" s="34">
        <v>8509</v>
      </c>
      <c r="G54" s="34">
        <v>3968</v>
      </c>
      <c r="H54" s="34">
        <v>10295</v>
      </c>
      <c r="I54" s="34">
        <v>3368</v>
      </c>
      <c r="J54" s="34">
        <v>3019</v>
      </c>
      <c r="K54" s="34">
        <v>1836</v>
      </c>
      <c r="L54" s="34">
        <v>2518</v>
      </c>
      <c r="M54" s="34">
        <v>2495</v>
      </c>
      <c r="N54" s="34">
        <v>4729</v>
      </c>
      <c r="O54" s="34">
        <v>2960</v>
      </c>
      <c r="P54" s="34">
        <v>2494</v>
      </c>
      <c r="Q54" s="34">
        <v>5614</v>
      </c>
      <c r="R54" s="34">
        <v>1435</v>
      </c>
      <c r="S54" s="34">
        <v>37385</v>
      </c>
      <c r="T54" s="30">
        <f t="shared" si="4"/>
        <v>249227</v>
      </c>
      <c r="U54" s="34">
        <v>5359</v>
      </c>
      <c r="V54" s="34">
        <v>43698</v>
      </c>
      <c r="W54" s="34">
        <v>5879</v>
      </c>
      <c r="X54" s="34">
        <v>31394</v>
      </c>
      <c r="Y54" s="34">
        <v>5437</v>
      </c>
      <c r="Z54" s="34">
        <v>3886</v>
      </c>
      <c r="AA54" s="34">
        <v>90114</v>
      </c>
      <c r="AB54" s="34">
        <v>7900</v>
      </c>
      <c r="AC54" s="34">
        <v>30004</v>
      </c>
      <c r="AD54" s="34">
        <v>25556</v>
      </c>
      <c r="AE54" s="34">
        <v>4299</v>
      </c>
    </row>
    <row r="55" spans="1:31" x14ac:dyDescent="0.3">
      <c r="A55" s="37">
        <v>42916</v>
      </c>
      <c r="B55" s="32">
        <f t="shared" si="6"/>
        <v>350108</v>
      </c>
      <c r="C55" s="33">
        <v>15358</v>
      </c>
      <c r="D55" s="30">
        <f t="shared" si="5"/>
        <v>88629</v>
      </c>
      <c r="E55" s="34">
        <v>1787</v>
      </c>
      <c r="F55" s="34">
        <v>8214</v>
      </c>
      <c r="G55" s="34">
        <v>3838</v>
      </c>
      <c r="H55" s="34">
        <v>9864</v>
      </c>
      <c r="I55" s="34">
        <v>3318</v>
      </c>
      <c r="J55" s="34">
        <v>2849</v>
      </c>
      <c r="K55" s="34">
        <v>1785</v>
      </c>
      <c r="L55" s="34">
        <v>2443</v>
      </c>
      <c r="M55" s="34">
        <v>2380</v>
      </c>
      <c r="N55" s="34">
        <v>4517</v>
      </c>
      <c r="O55" s="34">
        <v>2804</v>
      </c>
      <c r="P55" s="34">
        <v>2342</v>
      </c>
      <c r="Q55" s="34">
        <v>5411</v>
      </c>
      <c r="R55" s="34">
        <v>1370</v>
      </c>
      <c r="S55" s="34">
        <v>35707</v>
      </c>
      <c r="T55" s="30">
        <f t="shared" si="4"/>
        <v>241682</v>
      </c>
      <c r="U55" s="34">
        <v>5189</v>
      </c>
      <c r="V55" s="34">
        <v>41542</v>
      </c>
      <c r="W55" s="34">
        <v>5666</v>
      </c>
      <c r="X55" s="34">
        <v>30124</v>
      </c>
      <c r="Y55" s="34">
        <v>5219</v>
      </c>
      <c r="Z55" s="34">
        <v>3827</v>
      </c>
      <c r="AA55" s="34">
        <v>88132</v>
      </c>
      <c r="AB55" s="34">
        <v>7564</v>
      </c>
      <c r="AC55" s="34">
        <v>29875</v>
      </c>
      <c r="AD55" s="34">
        <v>24544</v>
      </c>
      <c r="AE55" s="34">
        <v>4439</v>
      </c>
    </row>
    <row r="56" spans="1:31" x14ac:dyDescent="0.3">
      <c r="A56" s="37">
        <v>42947</v>
      </c>
      <c r="B56" s="32">
        <f t="shared" si="6"/>
        <v>348015</v>
      </c>
      <c r="C56" s="33">
        <v>15775</v>
      </c>
      <c r="D56" s="30">
        <f t="shared" si="5"/>
        <v>87206</v>
      </c>
      <c r="E56" s="34">
        <v>1805</v>
      </c>
      <c r="F56" s="34">
        <v>8118</v>
      </c>
      <c r="G56" s="34">
        <v>3777</v>
      </c>
      <c r="H56" s="34">
        <v>9810</v>
      </c>
      <c r="I56" s="34">
        <v>3224</v>
      </c>
      <c r="J56" s="34">
        <v>2819</v>
      </c>
      <c r="K56" s="34">
        <v>1806</v>
      </c>
      <c r="L56" s="34">
        <v>2438</v>
      </c>
      <c r="M56" s="34">
        <v>2345</v>
      </c>
      <c r="N56" s="34">
        <v>4475</v>
      </c>
      <c r="O56" s="34">
        <v>2767</v>
      </c>
      <c r="P56" s="34">
        <v>2297</v>
      </c>
      <c r="Q56" s="34">
        <v>5373</v>
      </c>
      <c r="R56" s="34">
        <v>1357</v>
      </c>
      <c r="S56" s="34">
        <v>34795</v>
      </c>
      <c r="T56" s="30">
        <f t="shared" si="4"/>
        <v>240414</v>
      </c>
      <c r="U56" s="34">
        <v>5095</v>
      </c>
      <c r="V56" s="34">
        <v>40461</v>
      </c>
      <c r="W56" s="34">
        <v>5551</v>
      </c>
      <c r="X56" s="34">
        <v>29125</v>
      </c>
      <c r="Y56" s="34">
        <v>5193</v>
      </c>
      <c r="Z56" s="34">
        <v>3844</v>
      </c>
      <c r="AA56" s="34">
        <v>87981</v>
      </c>
      <c r="AB56" s="34">
        <v>7516</v>
      </c>
      <c r="AC56" s="34">
        <v>31558</v>
      </c>
      <c r="AD56" s="34">
        <v>24090</v>
      </c>
      <c r="AE56" s="34">
        <v>4620</v>
      </c>
    </row>
    <row r="57" spans="1:31" x14ac:dyDescent="0.3">
      <c r="A57" s="37">
        <v>42978</v>
      </c>
      <c r="B57" s="32">
        <f t="shared" si="6"/>
        <v>348464</v>
      </c>
      <c r="C57" s="33">
        <v>15287</v>
      </c>
      <c r="D57" s="30">
        <f t="shared" si="5"/>
        <v>86820</v>
      </c>
      <c r="E57" s="34">
        <v>1768</v>
      </c>
      <c r="F57" s="34">
        <v>8030</v>
      </c>
      <c r="G57" s="34">
        <v>3792</v>
      </c>
      <c r="H57" s="34">
        <v>9947</v>
      </c>
      <c r="I57" s="34">
        <v>3286</v>
      </c>
      <c r="J57" s="34">
        <v>2882</v>
      </c>
      <c r="K57" s="34">
        <v>1814</v>
      </c>
      <c r="L57" s="34">
        <v>2501</v>
      </c>
      <c r="M57" s="34">
        <v>2302</v>
      </c>
      <c r="N57" s="34">
        <v>4499</v>
      </c>
      <c r="O57" s="34">
        <v>2762</v>
      </c>
      <c r="P57" s="34">
        <v>2337</v>
      </c>
      <c r="Q57" s="34">
        <v>5415</v>
      </c>
      <c r="R57" s="34">
        <v>1379</v>
      </c>
      <c r="S57" s="34">
        <v>34106</v>
      </c>
      <c r="T57" s="30">
        <f t="shared" si="4"/>
        <v>241760</v>
      </c>
      <c r="U57" s="34">
        <v>4985</v>
      </c>
      <c r="V57" s="34">
        <v>40065</v>
      </c>
      <c r="W57" s="34">
        <v>5534</v>
      </c>
      <c r="X57" s="34">
        <v>28960</v>
      </c>
      <c r="Y57" s="34">
        <v>5213</v>
      </c>
      <c r="Z57" s="34">
        <v>3827</v>
      </c>
      <c r="AA57" s="34">
        <v>88147</v>
      </c>
      <c r="AB57" s="34">
        <v>7485</v>
      </c>
      <c r="AC57" s="34">
        <v>33209</v>
      </c>
      <c r="AD57" s="34">
        <v>24335</v>
      </c>
      <c r="AE57" s="34">
        <v>4597</v>
      </c>
    </row>
    <row r="58" spans="1:31" x14ac:dyDescent="0.3">
      <c r="A58" s="37">
        <v>43008</v>
      </c>
      <c r="B58" s="32">
        <f t="shared" si="6"/>
        <v>340743</v>
      </c>
      <c r="C58" s="33">
        <v>15225</v>
      </c>
      <c r="D58" s="30">
        <f t="shared" si="5"/>
        <v>84225</v>
      </c>
      <c r="E58" s="34">
        <v>1736</v>
      </c>
      <c r="F58" s="34">
        <v>7865</v>
      </c>
      <c r="G58" s="34">
        <v>3704</v>
      </c>
      <c r="H58" s="34">
        <v>9787</v>
      </c>
      <c r="I58" s="34">
        <v>3265</v>
      </c>
      <c r="J58" s="34">
        <v>2855</v>
      </c>
      <c r="K58" s="34">
        <v>1765</v>
      </c>
      <c r="L58" s="34">
        <v>2446</v>
      </c>
      <c r="M58" s="34">
        <v>2255</v>
      </c>
      <c r="N58" s="34">
        <v>4375</v>
      </c>
      <c r="O58" s="34">
        <v>2697</v>
      </c>
      <c r="P58" s="34">
        <v>2201</v>
      </c>
      <c r="Q58" s="34">
        <v>5240</v>
      </c>
      <c r="R58" s="34">
        <v>1347</v>
      </c>
      <c r="S58" s="34">
        <v>32687</v>
      </c>
      <c r="T58" s="30">
        <f t="shared" si="4"/>
        <v>236720</v>
      </c>
      <c r="U58" s="34">
        <v>4865</v>
      </c>
      <c r="V58" s="34">
        <v>39658</v>
      </c>
      <c r="W58" s="34">
        <v>5303</v>
      </c>
      <c r="X58" s="34">
        <v>27797</v>
      </c>
      <c r="Y58" s="34">
        <v>5067</v>
      </c>
      <c r="Z58" s="34">
        <v>3787</v>
      </c>
      <c r="AA58" s="34">
        <v>84766</v>
      </c>
      <c r="AB58" s="34">
        <v>7410</v>
      </c>
      <c r="AC58" s="34">
        <v>34072</v>
      </c>
      <c r="AD58" s="34">
        <v>23995</v>
      </c>
      <c r="AE58" s="34">
        <v>4573</v>
      </c>
    </row>
    <row r="59" spans="1:31" x14ac:dyDescent="0.3">
      <c r="A59" s="37">
        <v>43038</v>
      </c>
      <c r="B59" s="32">
        <f t="shared" si="6"/>
        <v>334666</v>
      </c>
      <c r="C59" s="33">
        <v>15888</v>
      </c>
      <c r="D59" s="30">
        <f t="shared" si="5"/>
        <v>82252</v>
      </c>
      <c r="E59" s="34">
        <v>1739</v>
      </c>
      <c r="F59" s="34">
        <v>7982</v>
      </c>
      <c r="G59" s="34">
        <v>3700</v>
      </c>
      <c r="H59" s="34">
        <v>9494</v>
      </c>
      <c r="I59" s="34">
        <v>3186</v>
      </c>
      <c r="J59" s="34">
        <v>2808</v>
      </c>
      <c r="K59" s="34">
        <v>1745</v>
      </c>
      <c r="L59" s="34">
        <v>2378</v>
      </c>
      <c r="M59" s="34">
        <v>2192</v>
      </c>
      <c r="N59" s="34">
        <v>4224</v>
      </c>
      <c r="O59" s="34">
        <v>2674</v>
      </c>
      <c r="P59" s="34">
        <v>2132</v>
      </c>
      <c r="Q59" s="34">
        <v>5131</v>
      </c>
      <c r="R59" s="34">
        <v>1336</v>
      </c>
      <c r="S59" s="34">
        <v>31531</v>
      </c>
      <c r="T59" s="30">
        <f t="shared" si="4"/>
        <v>232206</v>
      </c>
      <c r="U59" s="34">
        <v>4749</v>
      </c>
      <c r="V59" s="34">
        <v>39428</v>
      </c>
      <c r="W59" s="34">
        <v>5314</v>
      </c>
      <c r="X59" s="34">
        <v>29159</v>
      </c>
      <c r="Y59" s="34">
        <v>4960</v>
      </c>
      <c r="Z59" s="34">
        <v>3709</v>
      </c>
      <c r="AA59" s="34">
        <v>83434</v>
      </c>
      <c r="AB59" s="34">
        <v>7269</v>
      </c>
      <c r="AC59" s="34">
        <v>30537</v>
      </c>
      <c r="AD59" s="34">
        <v>23647</v>
      </c>
      <c r="AE59" s="34">
        <v>4320</v>
      </c>
    </row>
    <row r="60" spans="1:31" x14ac:dyDescent="0.3">
      <c r="A60" s="37">
        <v>43069</v>
      </c>
      <c r="B60" s="32">
        <f t="shared" si="6"/>
        <v>335792</v>
      </c>
      <c r="C60" s="33">
        <v>16211</v>
      </c>
      <c r="D60" s="30">
        <f t="shared" si="5"/>
        <v>80353</v>
      </c>
      <c r="E60" s="34">
        <v>1753</v>
      </c>
      <c r="F60" s="34">
        <v>7916</v>
      </c>
      <c r="G60" s="34">
        <v>3622</v>
      </c>
      <c r="H60" s="34">
        <v>9171</v>
      </c>
      <c r="I60" s="34">
        <v>3152</v>
      </c>
      <c r="J60" s="34">
        <v>2684</v>
      </c>
      <c r="K60" s="34">
        <v>1664</v>
      </c>
      <c r="L60" s="34">
        <v>2353</v>
      </c>
      <c r="M60" s="34">
        <v>2162</v>
      </c>
      <c r="N60" s="34">
        <v>4174</v>
      </c>
      <c r="O60" s="34">
        <v>2561</v>
      </c>
      <c r="P60" s="34">
        <v>2042</v>
      </c>
      <c r="Q60" s="34">
        <v>4972</v>
      </c>
      <c r="R60" s="34">
        <v>1343</v>
      </c>
      <c r="S60" s="34">
        <v>30784</v>
      </c>
      <c r="T60" s="30">
        <f t="shared" si="4"/>
        <v>235148</v>
      </c>
      <c r="U60" s="34">
        <v>4648</v>
      </c>
      <c r="V60" s="34">
        <v>38870</v>
      </c>
      <c r="W60" s="34">
        <v>5758</v>
      </c>
      <c r="X60" s="34">
        <v>33968</v>
      </c>
      <c r="Y60" s="34">
        <v>4999</v>
      </c>
      <c r="Z60" s="34">
        <v>3676</v>
      </c>
      <c r="AA60" s="34">
        <v>83184</v>
      </c>
      <c r="AB60" s="34">
        <v>7185</v>
      </c>
      <c r="AC60" s="34">
        <v>28633</v>
      </c>
      <c r="AD60" s="34">
        <v>24227</v>
      </c>
      <c r="AE60" s="34">
        <v>4080</v>
      </c>
    </row>
    <row r="61" spans="1:31" x14ac:dyDescent="0.3">
      <c r="A61" s="37">
        <v>43100</v>
      </c>
      <c r="B61" s="32">
        <f t="shared" si="6"/>
        <v>337844</v>
      </c>
      <c r="C61" s="33">
        <v>16198</v>
      </c>
      <c r="D61" s="30">
        <f t="shared" si="5"/>
        <v>81328</v>
      </c>
      <c r="E61" s="34">
        <v>1690</v>
      </c>
      <c r="F61" s="34">
        <v>7785</v>
      </c>
      <c r="G61" s="34">
        <v>3556</v>
      </c>
      <c r="H61" s="34">
        <v>9224</v>
      </c>
      <c r="I61" s="34">
        <v>3201</v>
      </c>
      <c r="J61" s="34">
        <v>2651</v>
      </c>
      <c r="K61" s="34">
        <v>1665</v>
      </c>
      <c r="L61" s="34">
        <v>2321</v>
      </c>
      <c r="M61" s="34">
        <v>2160</v>
      </c>
      <c r="N61" s="34">
        <v>4266</v>
      </c>
      <c r="O61" s="34">
        <v>2567</v>
      </c>
      <c r="P61" s="34">
        <v>2048</v>
      </c>
      <c r="Q61" s="34">
        <v>4977</v>
      </c>
      <c r="R61" s="34">
        <v>1344</v>
      </c>
      <c r="S61" s="34">
        <v>31873</v>
      </c>
      <c r="T61" s="30">
        <f t="shared" si="4"/>
        <v>236399</v>
      </c>
      <c r="U61" s="34">
        <v>4579</v>
      </c>
      <c r="V61" s="34">
        <v>38054</v>
      </c>
      <c r="W61" s="34">
        <v>5840</v>
      </c>
      <c r="X61" s="34">
        <v>34789</v>
      </c>
      <c r="Y61" s="34">
        <v>4894</v>
      </c>
      <c r="Z61" s="34">
        <v>3593</v>
      </c>
      <c r="AA61" s="34">
        <v>85744</v>
      </c>
      <c r="AB61" s="34">
        <v>7084</v>
      </c>
      <c r="AC61" s="34">
        <v>27684</v>
      </c>
      <c r="AD61" s="34">
        <v>24138</v>
      </c>
      <c r="AE61" s="34">
        <v>3919</v>
      </c>
    </row>
    <row r="62" spans="1:31" x14ac:dyDescent="0.3">
      <c r="A62" s="37">
        <v>43131</v>
      </c>
      <c r="B62" s="32">
        <f t="shared" si="6"/>
        <v>348147</v>
      </c>
      <c r="C62" s="33">
        <v>16386</v>
      </c>
      <c r="D62" s="30">
        <f t="shared" si="5"/>
        <v>83398</v>
      </c>
      <c r="E62" s="34">
        <v>1715</v>
      </c>
      <c r="F62" s="34">
        <v>8193</v>
      </c>
      <c r="G62" s="34">
        <v>3678</v>
      </c>
      <c r="H62" s="34">
        <v>10054</v>
      </c>
      <c r="I62" s="34">
        <v>3275</v>
      </c>
      <c r="J62" s="34">
        <v>2667</v>
      </c>
      <c r="K62" s="34">
        <v>1739</v>
      </c>
      <c r="L62" s="34">
        <v>2375</v>
      </c>
      <c r="M62" s="34">
        <v>2195</v>
      </c>
      <c r="N62" s="34">
        <v>4207</v>
      </c>
      <c r="O62" s="34">
        <v>2609</v>
      </c>
      <c r="P62" s="34">
        <v>2110</v>
      </c>
      <c r="Q62" s="34">
        <v>5014</v>
      </c>
      <c r="R62" s="34">
        <v>1400</v>
      </c>
      <c r="S62" s="34">
        <v>32167</v>
      </c>
      <c r="T62" s="30">
        <f t="shared" si="4"/>
        <v>244329</v>
      </c>
      <c r="U62" s="34">
        <v>4766</v>
      </c>
      <c r="V62" s="34">
        <v>40080</v>
      </c>
      <c r="W62" s="34">
        <v>6038</v>
      </c>
      <c r="X62" s="34">
        <v>36532</v>
      </c>
      <c r="Y62" s="34">
        <v>5043</v>
      </c>
      <c r="Z62" s="34">
        <v>3742</v>
      </c>
      <c r="AA62" s="34">
        <v>87453</v>
      </c>
      <c r="AB62" s="34">
        <v>7271</v>
      </c>
      <c r="AC62" s="34">
        <v>28324</v>
      </c>
      <c r="AD62" s="34">
        <v>25080</v>
      </c>
      <c r="AE62" s="34">
        <v>4034</v>
      </c>
    </row>
    <row r="63" spans="1:31" x14ac:dyDescent="0.3">
      <c r="A63" s="37">
        <v>43159</v>
      </c>
      <c r="B63" s="32">
        <f t="shared" si="6"/>
        <v>338663</v>
      </c>
      <c r="C63" s="33">
        <v>16080</v>
      </c>
      <c r="D63" s="30">
        <f t="shared" si="5"/>
        <v>81348</v>
      </c>
      <c r="E63" s="34">
        <v>1698</v>
      </c>
      <c r="F63" s="34">
        <v>8140</v>
      </c>
      <c r="G63" s="34">
        <v>3543</v>
      </c>
      <c r="H63" s="34">
        <v>9938</v>
      </c>
      <c r="I63" s="34">
        <v>3118</v>
      </c>
      <c r="J63" s="34">
        <v>2576</v>
      </c>
      <c r="K63" s="34">
        <v>1690</v>
      </c>
      <c r="L63" s="34">
        <v>2299</v>
      </c>
      <c r="M63" s="34">
        <v>2153</v>
      </c>
      <c r="N63" s="34">
        <v>4147</v>
      </c>
      <c r="O63" s="34">
        <v>2545</v>
      </c>
      <c r="P63" s="34">
        <v>2060</v>
      </c>
      <c r="Q63" s="34">
        <v>4868</v>
      </c>
      <c r="R63" s="34">
        <v>1378</v>
      </c>
      <c r="S63" s="34">
        <v>31195</v>
      </c>
      <c r="T63" s="30">
        <f t="shared" si="4"/>
        <v>237337</v>
      </c>
      <c r="U63" s="34">
        <v>4648</v>
      </c>
      <c r="V63" s="34">
        <v>39483</v>
      </c>
      <c r="W63" s="34">
        <v>5804</v>
      </c>
      <c r="X63" s="34">
        <v>34599</v>
      </c>
      <c r="Y63" s="34">
        <v>4893</v>
      </c>
      <c r="Z63" s="34">
        <v>3634</v>
      </c>
      <c r="AA63" s="34">
        <v>85860</v>
      </c>
      <c r="AB63" s="34">
        <v>7088</v>
      </c>
      <c r="AC63" s="34">
        <v>27183</v>
      </c>
      <c r="AD63" s="34">
        <v>24145</v>
      </c>
      <c r="AE63" s="34">
        <v>3898</v>
      </c>
    </row>
    <row r="64" spans="1:31" x14ac:dyDescent="0.3">
      <c r="A64" s="37">
        <v>43190</v>
      </c>
      <c r="B64" s="32">
        <f t="shared" si="6"/>
        <v>328643</v>
      </c>
      <c r="C64" s="35">
        <v>16375</v>
      </c>
      <c r="D64" s="30">
        <f t="shared" si="5"/>
        <v>79668</v>
      </c>
      <c r="E64" s="36">
        <v>1671</v>
      </c>
      <c r="F64" s="36">
        <v>7961</v>
      </c>
      <c r="G64" s="36">
        <v>3514</v>
      </c>
      <c r="H64" s="36">
        <v>9531</v>
      </c>
      <c r="I64" s="36">
        <v>3251</v>
      </c>
      <c r="J64" s="36">
        <v>2543</v>
      </c>
      <c r="K64" s="36">
        <v>1659</v>
      </c>
      <c r="L64" s="36">
        <v>2268</v>
      </c>
      <c r="M64" s="36">
        <v>2099</v>
      </c>
      <c r="N64" s="36">
        <v>4115</v>
      </c>
      <c r="O64" s="36">
        <v>2475</v>
      </c>
      <c r="P64" s="36">
        <v>2031</v>
      </c>
      <c r="Q64" s="36">
        <v>4763</v>
      </c>
      <c r="R64" s="36">
        <v>1364</v>
      </c>
      <c r="S64" s="36">
        <v>30423</v>
      </c>
      <c r="T64" s="30">
        <f t="shared" si="4"/>
        <v>228841</v>
      </c>
      <c r="U64" s="36">
        <v>4574</v>
      </c>
      <c r="V64" s="36">
        <v>38638</v>
      </c>
      <c r="W64" s="36">
        <v>5508</v>
      </c>
      <c r="X64" s="36">
        <v>31090</v>
      </c>
      <c r="Y64" s="36">
        <v>4817</v>
      </c>
      <c r="Z64" s="36">
        <v>3557</v>
      </c>
      <c r="AA64" s="36">
        <v>84156</v>
      </c>
      <c r="AB64" s="36">
        <v>6974</v>
      </c>
      <c r="AC64" s="36">
        <v>26409</v>
      </c>
      <c r="AD64" s="36">
        <v>23118</v>
      </c>
      <c r="AE64" s="36">
        <v>3759</v>
      </c>
    </row>
    <row r="65" spans="1:31" x14ac:dyDescent="0.3">
      <c r="A65" s="37">
        <v>43220</v>
      </c>
      <c r="B65" s="32">
        <f t="shared" si="6"/>
        <v>313743</v>
      </c>
      <c r="C65" s="35">
        <v>15544</v>
      </c>
      <c r="D65" s="30">
        <f t="shared" si="5"/>
        <v>76429</v>
      </c>
      <c r="E65" s="36">
        <v>1586</v>
      </c>
      <c r="F65" s="36">
        <v>7656</v>
      </c>
      <c r="G65" s="36">
        <v>3405</v>
      </c>
      <c r="H65" s="36">
        <v>9098</v>
      </c>
      <c r="I65" s="36">
        <v>3316</v>
      </c>
      <c r="J65" s="36">
        <v>2489</v>
      </c>
      <c r="K65" s="36">
        <v>1614</v>
      </c>
      <c r="L65" s="36">
        <v>2203</v>
      </c>
      <c r="M65" s="36">
        <v>2021</v>
      </c>
      <c r="N65" s="36">
        <v>3965</v>
      </c>
      <c r="O65" s="36">
        <v>2387</v>
      </c>
      <c r="P65" s="36">
        <v>1984</v>
      </c>
      <c r="Q65" s="36">
        <v>4551</v>
      </c>
      <c r="R65" s="36">
        <v>1274</v>
      </c>
      <c r="S65" s="36">
        <v>28880</v>
      </c>
      <c r="T65" s="30">
        <f t="shared" ref="T65:T96" si="7">SUM(U65:AD65)</f>
        <v>218224</v>
      </c>
      <c r="U65" s="36">
        <v>4428</v>
      </c>
      <c r="V65" s="36">
        <v>37032</v>
      </c>
      <c r="W65" s="36">
        <v>5196</v>
      </c>
      <c r="X65" s="36">
        <v>28371</v>
      </c>
      <c r="Y65" s="36">
        <v>4653</v>
      </c>
      <c r="Z65" s="36">
        <v>3428</v>
      </c>
      <c r="AA65" s="36">
        <v>81000</v>
      </c>
      <c r="AB65" s="36">
        <v>6734</v>
      </c>
      <c r="AC65" s="36">
        <v>25396</v>
      </c>
      <c r="AD65" s="36">
        <v>21986</v>
      </c>
      <c r="AE65" s="36">
        <v>3546</v>
      </c>
    </row>
    <row r="66" spans="1:31" x14ac:dyDescent="0.3">
      <c r="A66" s="37">
        <v>43251</v>
      </c>
      <c r="B66" s="32">
        <f t="shared" si="6"/>
        <v>291566</v>
      </c>
      <c r="C66" s="35">
        <v>13462</v>
      </c>
      <c r="D66" s="30">
        <f t="shared" ref="D66:D97" si="8">SUM(E66:S66)</f>
        <v>71103</v>
      </c>
      <c r="E66" s="36">
        <v>1492</v>
      </c>
      <c r="F66" s="36">
        <v>7027</v>
      </c>
      <c r="G66" s="36">
        <v>3155</v>
      </c>
      <c r="H66" s="36">
        <v>8393</v>
      </c>
      <c r="I66" s="36">
        <v>3114</v>
      </c>
      <c r="J66" s="36">
        <v>2305</v>
      </c>
      <c r="K66" s="36">
        <v>1503</v>
      </c>
      <c r="L66" s="36">
        <v>2082</v>
      </c>
      <c r="M66" s="36">
        <v>1905</v>
      </c>
      <c r="N66" s="36">
        <v>3650</v>
      </c>
      <c r="O66" s="36">
        <v>2272</v>
      </c>
      <c r="P66" s="36">
        <v>1896</v>
      </c>
      <c r="Q66" s="36">
        <v>4270</v>
      </c>
      <c r="R66" s="36">
        <v>1213</v>
      </c>
      <c r="S66" s="36">
        <v>26826</v>
      </c>
      <c r="T66" s="30">
        <f t="shared" si="7"/>
        <v>203890</v>
      </c>
      <c r="U66" s="36">
        <v>4265</v>
      </c>
      <c r="V66" s="36">
        <v>34934</v>
      </c>
      <c r="W66" s="36">
        <v>4876</v>
      </c>
      <c r="X66" s="36">
        <v>25273</v>
      </c>
      <c r="Y66" s="36">
        <v>4430</v>
      </c>
      <c r="Z66" s="36">
        <v>3258</v>
      </c>
      <c r="AA66" s="36">
        <v>76502</v>
      </c>
      <c r="AB66" s="36">
        <v>6356</v>
      </c>
      <c r="AC66" s="36">
        <v>23614</v>
      </c>
      <c r="AD66" s="36">
        <v>20382</v>
      </c>
      <c r="AE66" s="36">
        <v>3111</v>
      </c>
    </row>
    <row r="67" spans="1:31" x14ac:dyDescent="0.3">
      <c r="A67" s="37">
        <v>43281</v>
      </c>
      <c r="B67" s="32">
        <f t="shared" si="6"/>
        <v>277545</v>
      </c>
      <c r="C67" s="35">
        <v>12642</v>
      </c>
      <c r="D67" s="30">
        <f t="shared" si="8"/>
        <v>66478</v>
      </c>
      <c r="E67" s="36">
        <v>1449</v>
      </c>
      <c r="F67" s="36">
        <v>6640</v>
      </c>
      <c r="G67" s="36">
        <v>2902</v>
      </c>
      <c r="H67" s="36">
        <v>7933</v>
      </c>
      <c r="I67" s="36">
        <v>2872</v>
      </c>
      <c r="J67" s="36">
        <v>2184</v>
      </c>
      <c r="K67" s="36">
        <v>1414</v>
      </c>
      <c r="L67" s="36">
        <v>1965</v>
      </c>
      <c r="M67" s="36">
        <v>1814</v>
      </c>
      <c r="N67" s="36">
        <v>3346</v>
      </c>
      <c r="O67" s="36">
        <v>2189</v>
      </c>
      <c r="P67" s="36">
        <v>1761</v>
      </c>
      <c r="Q67" s="36">
        <v>3997</v>
      </c>
      <c r="R67" s="36">
        <v>1138</v>
      </c>
      <c r="S67" s="36">
        <v>24874</v>
      </c>
      <c r="T67" s="30">
        <f t="shared" si="7"/>
        <v>195493</v>
      </c>
      <c r="U67" s="36">
        <v>3990</v>
      </c>
      <c r="V67" s="36">
        <v>32954</v>
      </c>
      <c r="W67" s="36">
        <v>4643</v>
      </c>
      <c r="X67" s="36">
        <v>24474</v>
      </c>
      <c r="Y67" s="36">
        <v>4137</v>
      </c>
      <c r="Z67" s="36">
        <v>3052</v>
      </c>
      <c r="AA67" s="36">
        <v>73739</v>
      </c>
      <c r="AB67" s="36">
        <v>5967</v>
      </c>
      <c r="AC67" s="36">
        <v>23208</v>
      </c>
      <c r="AD67" s="36">
        <v>19329</v>
      </c>
      <c r="AE67" s="36">
        <v>2932</v>
      </c>
    </row>
    <row r="68" spans="1:31" x14ac:dyDescent="0.3">
      <c r="A68" s="37">
        <v>43312</v>
      </c>
      <c r="B68" s="32">
        <f t="shared" si="6"/>
        <v>276148</v>
      </c>
      <c r="C68" s="33">
        <v>12754</v>
      </c>
      <c r="D68" s="30">
        <f t="shared" si="8"/>
        <v>65497</v>
      </c>
      <c r="E68" s="34">
        <v>1482</v>
      </c>
      <c r="F68" s="34">
        <v>6562</v>
      </c>
      <c r="G68" s="34">
        <v>2830</v>
      </c>
      <c r="H68" s="34">
        <v>7890</v>
      </c>
      <c r="I68" s="34">
        <v>2838</v>
      </c>
      <c r="J68" s="34">
        <v>2076</v>
      </c>
      <c r="K68" s="34">
        <v>1387</v>
      </c>
      <c r="L68" s="34">
        <v>1912</v>
      </c>
      <c r="M68" s="34">
        <v>1796</v>
      </c>
      <c r="N68" s="34">
        <v>3377</v>
      </c>
      <c r="O68" s="34">
        <v>2154</v>
      </c>
      <c r="P68" s="34">
        <v>1743</v>
      </c>
      <c r="Q68" s="34">
        <v>3956</v>
      </c>
      <c r="R68" s="34">
        <v>1113</v>
      </c>
      <c r="S68" s="34">
        <v>24381</v>
      </c>
      <c r="T68" s="30">
        <f t="shared" si="7"/>
        <v>195107</v>
      </c>
      <c r="U68" s="34">
        <v>3884</v>
      </c>
      <c r="V68" s="34">
        <v>32250</v>
      </c>
      <c r="W68" s="34">
        <v>4619</v>
      </c>
      <c r="X68" s="34">
        <v>23747</v>
      </c>
      <c r="Y68" s="34">
        <v>4059</v>
      </c>
      <c r="Z68" s="34">
        <v>3021</v>
      </c>
      <c r="AA68" s="34">
        <v>73609</v>
      </c>
      <c r="AB68" s="34">
        <v>5911</v>
      </c>
      <c r="AC68" s="34">
        <v>24798</v>
      </c>
      <c r="AD68" s="34">
        <v>19209</v>
      </c>
      <c r="AE68" s="34">
        <v>2790</v>
      </c>
    </row>
    <row r="69" spans="1:31" x14ac:dyDescent="0.3">
      <c r="A69" s="37">
        <v>43343</v>
      </c>
      <c r="B69" s="32">
        <f t="shared" si="6"/>
        <v>282098</v>
      </c>
      <c r="C69" s="33">
        <v>12895</v>
      </c>
      <c r="D69" s="30">
        <f t="shared" si="8"/>
        <v>66067</v>
      </c>
      <c r="E69" s="34">
        <v>1483</v>
      </c>
      <c r="F69" s="34">
        <v>6567</v>
      </c>
      <c r="G69" s="34">
        <v>2848</v>
      </c>
      <c r="H69" s="34">
        <v>8260</v>
      </c>
      <c r="I69" s="34">
        <v>2977</v>
      </c>
      <c r="J69" s="34">
        <v>2089</v>
      </c>
      <c r="K69" s="34">
        <v>1397</v>
      </c>
      <c r="L69" s="34">
        <v>1975</v>
      </c>
      <c r="M69" s="34">
        <v>1828</v>
      </c>
      <c r="N69" s="34">
        <v>3418</v>
      </c>
      <c r="O69" s="34">
        <v>2223</v>
      </c>
      <c r="P69" s="34">
        <v>1765</v>
      </c>
      <c r="Q69" s="34">
        <v>3962</v>
      </c>
      <c r="R69" s="34">
        <v>1158</v>
      </c>
      <c r="S69" s="34">
        <v>24117</v>
      </c>
      <c r="T69" s="30">
        <f t="shared" si="7"/>
        <v>200308</v>
      </c>
      <c r="U69" s="34">
        <v>3854</v>
      </c>
      <c r="V69" s="34">
        <v>32577</v>
      </c>
      <c r="W69" s="34">
        <v>4605</v>
      </c>
      <c r="X69" s="34">
        <v>23867</v>
      </c>
      <c r="Y69" s="34">
        <v>4209</v>
      </c>
      <c r="Z69" s="34">
        <v>3084</v>
      </c>
      <c r="AA69" s="34">
        <v>75216</v>
      </c>
      <c r="AB69" s="34">
        <v>6017</v>
      </c>
      <c r="AC69" s="34">
        <v>27404</v>
      </c>
      <c r="AD69" s="34">
        <v>19475</v>
      </c>
      <c r="AE69" s="34">
        <v>2828</v>
      </c>
    </row>
    <row r="70" spans="1:31" x14ac:dyDescent="0.3">
      <c r="A70" s="37">
        <v>43373</v>
      </c>
      <c r="B70" s="32">
        <f t="shared" ref="B70:B101" si="9">C70+D70+T70+AE70</f>
        <v>280572</v>
      </c>
      <c r="C70" s="35">
        <v>12687</v>
      </c>
      <c r="D70" s="30">
        <f t="shared" si="8"/>
        <v>65796</v>
      </c>
      <c r="E70" s="36">
        <v>1485</v>
      </c>
      <c r="F70" s="36">
        <v>6442</v>
      </c>
      <c r="G70" s="36">
        <v>2960</v>
      </c>
      <c r="H70" s="36">
        <v>8334</v>
      </c>
      <c r="I70" s="36">
        <v>3069</v>
      </c>
      <c r="J70" s="36">
        <v>2089</v>
      </c>
      <c r="K70" s="36">
        <v>1380</v>
      </c>
      <c r="L70" s="36">
        <v>1981</v>
      </c>
      <c r="M70" s="36">
        <v>1817</v>
      </c>
      <c r="N70" s="36">
        <v>3439</v>
      </c>
      <c r="O70" s="36">
        <v>2212</v>
      </c>
      <c r="P70" s="36">
        <v>1753</v>
      </c>
      <c r="Q70" s="36">
        <v>3993</v>
      </c>
      <c r="R70" s="36">
        <v>1144</v>
      </c>
      <c r="S70" s="36">
        <v>23698</v>
      </c>
      <c r="T70" s="30">
        <f t="shared" si="7"/>
        <v>199140</v>
      </c>
      <c r="U70" s="36">
        <v>3820</v>
      </c>
      <c r="V70" s="36">
        <v>32473</v>
      </c>
      <c r="W70" s="36">
        <v>4407</v>
      </c>
      <c r="X70" s="36">
        <v>22795</v>
      </c>
      <c r="Y70" s="36">
        <v>4161</v>
      </c>
      <c r="Z70" s="36">
        <v>3072</v>
      </c>
      <c r="AA70" s="36">
        <v>73622</v>
      </c>
      <c r="AB70" s="36">
        <v>5998</v>
      </c>
      <c r="AC70" s="36">
        <v>29307</v>
      </c>
      <c r="AD70" s="36">
        <v>19485</v>
      </c>
      <c r="AE70" s="36">
        <v>2949</v>
      </c>
    </row>
    <row r="71" spans="1:31" x14ac:dyDescent="0.3">
      <c r="A71" s="37">
        <v>43403</v>
      </c>
      <c r="B71" s="32">
        <f t="shared" si="9"/>
        <v>276282</v>
      </c>
      <c r="C71" s="35">
        <v>13446</v>
      </c>
      <c r="D71" s="30">
        <f t="shared" si="8"/>
        <v>64182</v>
      </c>
      <c r="E71" s="36">
        <v>1498</v>
      </c>
      <c r="F71" s="36">
        <v>6533</v>
      </c>
      <c r="G71" s="36">
        <v>2807</v>
      </c>
      <c r="H71" s="36">
        <v>8012</v>
      </c>
      <c r="I71" s="36">
        <v>3078</v>
      </c>
      <c r="J71" s="36">
        <v>2012</v>
      </c>
      <c r="K71" s="36">
        <v>1346</v>
      </c>
      <c r="L71" s="36">
        <v>1965</v>
      </c>
      <c r="M71" s="36">
        <v>1748</v>
      </c>
      <c r="N71" s="36">
        <v>3402</v>
      </c>
      <c r="O71" s="36">
        <v>2212</v>
      </c>
      <c r="P71" s="36">
        <v>1750</v>
      </c>
      <c r="Q71" s="36">
        <v>3840</v>
      </c>
      <c r="R71" s="36">
        <v>1154</v>
      </c>
      <c r="S71" s="36">
        <v>22825</v>
      </c>
      <c r="T71" s="30">
        <f t="shared" si="7"/>
        <v>195550</v>
      </c>
      <c r="U71" s="36">
        <v>3777</v>
      </c>
      <c r="V71" s="36">
        <v>32256</v>
      </c>
      <c r="W71" s="36">
        <v>4451</v>
      </c>
      <c r="X71" s="36">
        <v>24159</v>
      </c>
      <c r="Y71" s="36">
        <v>4114</v>
      </c>
      <c r="Z71" s="36">
        <v>3023</v>
      </c>
      <c r="AA71" s="36">
        <v>72677</v>
      </c>
      <c r="AB71" s="36">
        <v>5981</v>
      </c>
      <c r="AC71" s="36">
        <v>25879</v>
      </c>
      <c r="AD71" s="36">
        <v>19233</v>
      </c>
      <c r="AE71" s="36">
        <v>3104</v>
      </c>
    </row>
    <row r="72" spans="1:31" x14ac:dyDescent="0.3">
      <c r="A72" s="37">
        <v>43434</v>
      </c>
      <c r="B72" s="32">
        <f t="shared" si="9"/>
        <v>278423</v>
      </c>
      <c r="C72" s="33">
        <v>13822</v>
      </c>
      <c r="D72" s="30">
        <f t="shared" si="8"/>
        <v>62935</v>
      </c>
      <c r="E72" s="34">
        <v>1418</v>
      </c>
      <c r="F72" s="34">
        <v>6471</v>
      </c>
      <c r="G72" s="34">
        <v>2726</v>
      </c>
      <c r="H72" s="34">
        <v>7781</v>
      </c>
      <c r="I72" s="34">
        <v>3045</v>
      </c>
      <c r="J72" s="34">
        <v>1996</v>
      </c>
      <c r="K72" s="34">
        <v>1302</v>
      </c>
      <c r="L72" s="34">
        <v>1916</v>
      </c>
      <c r="M72" s="34">
        <v>1663</v>
      </c>
      <c r="N72" s="34">
        <v>3363</v>
      </c>
      <c r="O72" s="34">
        <v>2198</v>
      </c>
      <c r="P72" s="34">
        <v>1767</v>
      </c>
      <c r="Q72" s="34">
        <v>3776</v>
      </c>
      <c r="R72" s="34">
        <v>1130</v>
      </c>
      <c r="S72" s="34">
        <v>22383</v>
      </c>
      <c r="T72" s="30">
        <f t="shared" si="7"/>
        <v>198695</v>
      </c>
      <c r="U72" s="34">
        <v>3713</v>
      </c>
      <c r="V72" s="34">
        <v>31612</v>
      </c>
      <c r="W72" s="34">
        <v>4882</v>
      </c>
      <c r="X72" s="34">
        <v>29423</v>
      </c>
      <c r="Y72" s="34">
        <v>4033</v>
      </c>
      <c r="Z72" s="34">
        <v>2980</v>
      </c>
      <c r="AA72" s="34">
        <v>72430</v>
      </c>
      <c r="AB72" s="34">
        <v>5749</v>
      </c>
      <c r="AC72" s="34">
        <v>24036</v>
      </c>
      <c r="AD72" s="34">
        <v>19837</v>
      </c>
      <c r="AE72" s="34">
        <v>2971</v>
      </c>
    </row>
    <row r="73" spans="1:31" x14ac:dyDescent="0.3">
      <c r="A73" s="37">
        <v>43465</v>
      </c>
      <c r="B73" s="32">
        <f t="shared" si="9"/>
        <v>285005</v>
      </c>
      <c r="C73" s="33">
        <v>14073</v>
      </c>
      <c r="D73" s="30">
        <f t="shared" si="8"/>
        <v>65054</v>
      </c>
      <c r="E73" s="34">
        <v>1412</v>
      </c>
      <c r="F73" s="34">
        <v>6545</v>
      </c>
      <c r="G73" s="34">
        <v>2801</v>
      </c>
      <c r="H73" s="34">
        <v>7916</v>
      </c>
      <c r="I73" s="34">
        <v>3144</v>
      </c>
      <c r="J73" s="34">
        <v>2079</v>
      </c>
      <c r="K73" s="34">
        <v>1311</v>
      </c>
      <c r="L73" s="34">
        <v>1992</v>
      </c>
      <c r="M73" s="34">
        <v>1704</v>
      </c>
      <c r="N73" s="34">
        <v>3622</v>
      </c>
      <c r="O73" s="34">
        <v>2221</v>
      </c>
      <c r="P73" s="34">
        <v>1828</v>
      </c>
      <c r="Q73" s="34">
        <v>3896</v>
      </c>
      <c r="R73" s="34">
        <v>1145</v>
      </c>
      <c r="S73" s="34">
        <v>23438</v>
      </c>
      <c r="T73" s="30">
        <f t="shared" si="7"/>
        <v>203183</v>
      </c>
      <c r="U73" s="34">
        <v>3768</v>
      </c>
      <c r="V73" s="34">
        <v>31403</v>
      </c>
      <c r="W73" s="34">
        <v>5018</v>
      </c>
      <c r="X73" s="34">
        <v>30960</v>
      </c>
      <c r="Y73" s="34">
        <v>3962</v>
      </c>
      <c r="Z73" s="34">
        <v>3043</v>
      </c>
      <c r="AA73" s="34">
        <v>75676</v>
      </c>
      <c r="AB73" s="34">
        <v>5783</v>
      </c>
      <c r="AC73" s="34">
        <v>23578</v>
      </c>
      <c r="AD73" s="34">
        <v>19992</v>
      </c>
      <c r="AE73" s="34">
        <v>2695</v>
      </c>
    </row>
    <row r="74" spans="1:31" x14ac:dyDescent="0.3">
      <c r="A74" s="37">
        <v>43496</v>
      </c>
      <c r="B74" s="32">
        <f t="shared" si="9"/>
        <v>295156</v>
      </c>
      <c r="C74" s="33">
        <v>14256</v>
      </c>
      <c r="D74" s="30">
        <f t="shared" si="8"/>
        <v>66757</v>
      </c>
      <c r="E74" s="34">
        <v>1535</v>
      </c>
      <c r="F74" s="34">
        <v>6842</v>
      </c>
      <c r="G74" s="34">
        <v>2853</v>
      </c>
      <c r="H74" s="34">
        <v>8142</v>
      </c>
      <c r="I74" s="34">
        <v>3320</v>
      </c>
      <c r="J74" s="34">
        <v>2096</v>
      </c>
      <c r="K74" s="34">
        <v>1383</v>
      </c>
      <c r="L74" s="34">
        <v>2119</v>
      </c>
      <c r="M74" s="34">
        <v>1777</v>
      </c>
      <c r="N74" s="34">
        <v>3581</v>
      </c>
      <c r="O74" s="34">
        <v>2271</v>
      </c>
      <c r="P74" s="34">
        <v>1872</v>
      </c>
      <c r="Q74" s="34">
        <v>3959</v>
      </c>
      <c r="R74" s="34">
        <v>1190</v>
      </c>
      <c r="S74" s="34">
        <v>23817</v>
      </c>
      <c r="T74" s="30">
        <f t="shared" si="7"/>
        <v>211140</v>
      </c>
      <c r="U74" s="34">
        <v>3930</v>
      </c>
      <c r="V74" s="34">
        <v>33300</v>
      </c>
      <c r="W74" s="34">
        <v>5261</v>
      </c>
      <c r="X74" s="34">
        <v>32658</v>
      </c>
      <c r="Y74" s="34">
        <v>4141</v>
      </c>
      <c r="Z74" s="34">
        <v>3084</v>
      </c>
      <c r="AA74" s="34">
        <v>77437</v>
      </c>
      <c r="AB74" s="34">
        <v>6012</v>
      </c>
      <c r="AC74" s="34">
        <v>24195</v>
      </c>
      <c r="AD74" s="34">
        <v>21122</v>
      </c>
      <c r="AE74" s="34">
        <v>3003</v>
      </c>
    </row>
    <row r="75" spans="1:31" x14ac:dyDescent="0.3">
      <c r="A75" s="37">
        <v>43524</v>
      </c>
      <c r="B75" s="32">
        <f t="shared" si="9"/>
        <v>287761</v>
      </c>
      <c r="C75" s="33">
        <v>13830</v>
      </c>
      <c r="D75" s="30">
        <f t="shared" si="8"/>
        <v>65626</v>
      </c>
      <c r="E75" s="34">
        <v>1621</v>
      </c>
      <c r="F75" s="34">
        <v>6794</v>
      </c>
      <c r="G75" s="34">
        <v>2883</v>
      </c>
      <c r="H75" s="34">
        <v>8144</v>
      </c>
      <c r="I75" s="34">
        <v>3346</v>
      </c>
      <c r="J75" s="34">
        <v>2036</v>
      </c>
      <c r="K75" s="34">
        <v>1352</v>
      </c>
      <c r="L75" s="34">
        <v>2044</v>
      </c>
      <c r="M75" s="34">
        <v>1758</v>
      </c>
      <c r="N75" s="34">
        <v>3468</v>
      </c>
      <c r="O75" s="34">
        <v>2314</v>
      </c>
      <c r="P75" s="34">
        <v>1805</v>
      </c>
      <c r="Q75" s="34">
        <v>3878</v>
      </c>
      <c r="R75" s="34">
        <v>1148</v>
      </c>
      <c r="S75" s="34">
        <v>23035</v>
      </c>
      <c r="T75" s="30">
        <f t="shared" si="7"/>
        <v>205222</v>
      </c>
      <c r="U75" s="34">
        <v>3830</v>
      </c>
      <c r="V75" s="34">
        <v>32752</v>
      </c>
      <c r="W75" s="34">
        <v>5014</v>
      </c>
      <c r="X75" s="34">
        <v>30891</v>
      </c>
      <c r="Y75" s="34">
        <v>4071</v>
      </c>
      <c r="Z75" s="34">
        <v>3009</v>
      </c>
      <c r="AA75" s="34">
        <v>75829</v>
      </c>
      <c r="AB75" s="34">
        <v>5910</v>
      </c>
      <c r="AC75" s="34">
        <v>23365</v>
      </c>
      <c r="AD75" s="34">
        <v>20551</v>
      </c>
      <c r="AE75" s="34">
        <v>3083</v>
      </c>
    </row>
    <row r="76" spans="1:31" x14ac:dyDescent="0.3">
      <c r="A76" s="37">
        <v>43555</v>
      </c>
      <c r="B76" s="32">
        <f t="shared" si="9"/>
        <v>279650</v>
      </c>
      <c r="C76" s="35">
        <v>13630</v>
      </c>
      <c r="D76" s="30">
        <f t="shared" si="8"/>
        <v>64716</v>
      </c>
      <c r="E76" s="36">
        <v>1603</v>
      </c>
      <c r="F76" s="36">
        <v>6607</v>
      </c>
      <c r="G76" s="36">
        <v>2866</v>
      </c>
      <c r="H76" s="36">
        <v>8181</v>
      </c>
      <c r="I76" s="36">
        <v>3423</v>
      </c>
      <c r="J76" s="36">
        <v>2033</v>
      </c>
      <c r="K76" s="36">
        <v>1320</v>
      </c>
      <c r="L76" s="36">
        <v>1997</v>
      </c>
      <c r="M76" s="36">
        <v>1738</v>
      </c>
      <c r="N76" s="36">
        <v>3466</v>
      </c>
      <c r="O76" s="36">
        <v>2351</v>
      </c>
      <c r="P76" s="36">
        <v>1839</v>
      </c>
      <c r="Q76" s="36">
        <v>3823</v>
      </c>
      <c r="R76" s="36">
        <v>1109</v>
      </c>
      <c r="S76" s="36">
        <v>22360</v>
      </c>
      <c r="T76" s="30">
        <f t="shared" si="7"/>
        <v>198185</v>
      </c>
      <c r="U76" s="36">
        <v>3818</v>
      </c>
      <c r="V76" s="36">
        <v>32496</v>
      </c>
      <c r="W76" s="36">
        <v>4754</v>
      </c>
      <c r="X76" s="36">
        <v>27795</v>
      </c>
      <c r="Y76" s="36">
        <v>4024</v>
      </c>
      <c r="Z76" s="36">
        <v>2928</v>
      </c>
      <c r="AA76" s="36">
        <v>73911</v>
      </c>
      <c r="AB76" s="36">
        <v>5925</v>
      </c>
      <c r="AC76" s="36">
        <v>22723</v>
      </c>
      <c r="AD76" s="36">
        <v>19811</v>
      </c>
      <c r="AE76" s="36">
        <v>3119</v>
      </c>
    </row>
    <row r="77" spans="1:31" x14ac:dyDescent="0.3">
      <c r="A77" s="37">
        <v>43585</v>
      </c>
      <c r="B77" s="32">
        <f t="shared" si="9"/>
        <v>268709</v>
      </c>
      <c r="C77" s="35">
        <v>13370</v>
      </c>
      <c r="D77" s="30">
        <f t="shared" si="8"/>
        <v>63148</v>
      </c>
      <c r="E77" s="36">
        <v>1644</v>
      </c>
      <c r="F77" s="36">
        <v>6485</v>
      </c>
      <c r="G77" s="36">
        <v>2859</v>
      </c>
      <c r="H77" s="36">
        <v>8038</v>
      </c>
      <c r="I77" s="36">
        <v>3240</v>
      </c>
      <c r="J77" s="36">
        <v>1987</v>
      </c>
      <c r="K77" s="36">
        <v>1325</v>
      </c>
      <c r="L77" s="36">
        <v>1952</v>
      </c>
      <c r="M77" s="36">
        <v>1683</v>
      </c>
      <c r="N77" s="36">
        <v>3429</v>
      </c>
      <c r="O77" s="36">
        <v>2391</v>
      </c>
      <c r="P77" s="36">
        <v>1874</v>
      </c>
      <c r="Q77" s="36">
        <v>3758</v>
      </c>
      <c r="R77" s="36">
        <v>1121</v>
      </c>
      <c r="S77" s="36">
        <v>21362</v>
      </c>
      <c r="T77" s="30">
        <f t="shared" si="7"/>
        <v>189238</v>
      </c>
      <c r="U77" s="36">
        <v>3736</v>
      </c>
      <c r="V77" s="36">
        <v>31575</v>
      </c>
      <c r="W77" s="36">
        <v>4472</v>
      </c>
      <c r="X77" s="36">
        <v>24707</v>
      </c>
      <c r="Y77" s="36">
        <v>3942</v>
      </c>
      <c r="Z77" s="36">
        <v>2826</v>
      </c>
      <c r="AA77" s="36">
        <v>71293</v>
      </c>
      <c r="AB77" s="36">
        <v>5755</v>
      </c>
      <c r="AC77" s="36">
        <v>22103</v>
      </c>
      <c r="AD77" s="36">
        <v>18829</v>
      </c>
      <c r="AE77" s="36">
        <v>2953</v>
      </c>
    </row>
    <row r="78" spans="1:31" x14ac:dyDescent="0.3">
      <c r="A78" s="37">
        <v>43616</v>
      </c>
      <c r="B78" s="32">
        <f t="shared" si="9"/>
        <v>255169</v>
      </c>
      <c r="C78" s="33">
        <v>12387</v>
      </c>
      <c r="D78" s="30">
        <f t="shared" si="8"/>
        <v>60336</v>
      </c>
      <c r="E78" s="34">
        <v>1646</v>
      </c>
      <c r="F78" s="34">
        <v>6100</v>
      </c>
      <c r="G78" s="34">
        <v>2749</v>
      </c>
      <c r="H78" s="34">
        <v>7674</v>
      </c>
      <c r="I78" s="34">
        <v>3042</v>
      </c>
      <c r="J78" s="34">
        <v>1907</v>
      </c>
      <c r="K78" s="34">
        <v>1318</v>
      </c>
      <c r="L78" s="34">
        <v>1880</v>
      </c>
      <c r="M78" s="34">
        <v>1657</v>
      </c>
      <c r="N78" s="34">
        <v>3277</v>
      </c>
      <c r="O78" s="34">
        <v>2232</v>
      </c>
      <c r="P78" s="34">
        <v>1808</v>
      </c>
      <c r="Q78" s="34">
        <v>3660</v>
      </c>
      <c r="R78" s="34">
        <v>1075</v>
      </c>
      <c r="S78" s="34">
        <v>20311</v>
      </c>
      <c r="T78" s="30">
        <f t="shared" si="7"/>
        <v>179662</v>
      </c>
      <c r="U78" s="34">
        <v>3599</v>
      </c>
      <c r="V78" s="34">
        <v>30350</v>
      </c>
      <c r="W78" s="34">
        <v>4170</v>
      </c>
      <c r="X78" s="34">
        <v>22553</v>
      </c>
      <c r="Y78" s="34">
        <v>3784</v>
      </c>
      <c r="Z78" s="34">
        <v>2706</v>
      </c>
      <c r="AA78" s="34">
        <v>68335</v>
      </c>
      <c r="AB78" s="34">
        <v>5543</v>
      </c>
      <c r="AC78" s="34">
        <v>20819</v>
      </c>
      <c r="AD78" s="34">
        <v>17803</v>
      </c>
      <c r="AE78" s="34">
        <v>2784</v>
      </c>
    </row>
    <row r="79" spans="1:31" x14ac:dyDescent="0.3">
      <c r="A79" s="37">
        <v>43646</v>
      </c>
      <c r="B79" s="32">
        <f t="shared" si="9"/>
        <v>250252</v>
      </c>
      <c r="C79" s="33">
        <v>11722</v>
      </c>
      <c r="D79" s="30">
        <f t="shared" si="8"/>
        <v>59011</v>
      </c>
      <c r="E79" s="34">
        <v>1634</v>
      </c>
      <c r="F79" s="34">
        <v>5944</v>
      </c>
      <c r="G79" s="34">
        <v>2737</v>
      </c>
      <c r="H79" s="34">
        <v>7652</v>
      </c>
      <c r="I79" s="34">
        <v>2916</v>
      </c>
      <c r="J79" s="34">
        <v>1843</v>
      </c>
      <c r="K79" s="34">
        <v>1288</v>
      </c>
      <c r="L79" s="34">
        <v>1872</v>
      </c>
      <c r="M79" s="34">
        <v>1590</v>
      </c>
      <c r="N79" s="34">
        <v>3290</v>
      </c>
      <c r="O79" s="34">
        <v>2127</v>
      </c>
      <c r="P79" s="34">
        <v>1770</v>
      </c>
      <c r="Q79" s="34">
        <v>3580</v>
      </c>
      <c r="R79" s="34">
        <v>1063</v>
      </c>
      <c r="S79" s="34">
        <v>19705</v>
      </c>
      <c r="T79" s="30">
        <f t="shared" si="7"/>
        <v>176741</v>
      </c>
      <c r="U79" s="34">
        <v>3564</v>
      </c>
      <c r="V79" s="34">
        <v>29307</v>
      </c>
      <c r="W79" s="34">
        <v>4074</v>
      </c>
      <c r="X79" s="34">
        <v>22458</v>
      </c>
      <c r="Y79" s="34">
        <v>3699</v>
      </c>
      <c r="Z79" s="34">
        <v>2647</v>
      </c>
      <c r="AA79" s="34">
        <v>67251</v>
      </c>
      <c r="AB79" s="34">
        <v>5407</v>
      </c>
      <c r="AC79" s="34">
        <v>21188</v>
      </c>
      <c r="AD79" s="34">
        <v>17146</v>
      </c>
      <c r="AE79" s="34">
        <v>2778</v>
      </c>
    </row>
    <row r="80" spans="1:31" x14ac:dyDescent="0.3">
      <c r="A80" s="37">
        <v>43677</v>
      </c>
      <c r="B80" s="32">
        <f t="shared" si="9"/>
        <v>248726</v>
      </c>
      <c r="C80" s="33">
        <v>11907</v>
      </c>
      <c r="D80" s="30">
        <f t="shared" si="8"/>
        <v>57718</v>
      </c>
      <c r="E80" s="34">
        <v>1561</v>
      </c>
      <c r="F80" s="34">
        <v>5822</v>
      </c>
      <c r="G80" s="34">
        <v>2712</v>
      </c>
      <c r="H80" s="34">
        <v>7455</v>
      </c>
      <c r="I80" s="34">
        <v>2844</v>
      </c>
      <c r="J80" s="34">
        <v>1821</v>
      </c>
      <c r="K80" s="34">
        <v>1262</v>
      </c>
      <c r="L80" s="34">
        <v>1885</v>
      </c>
      <c r="M80" s="34">
        <v>1559</v>
      </c>
      <c r="N80" s="34">
        <v>3228</v>
      </c>
      <c r="O80" s="34">
        <v>2156</v>
      </c>
      <c r="P80" s="34">
        <v>1737</v>
      </c>
      <c r="Q80" s="34">
        <v>3491</v>
      </c>
      <c r="R80" s="34">
        <v>1022</v>
      </c>
      <c r="S80" s="34">
        <v>19163</v>
      </c>
      <c r="T80" s="30">
        <f t="shared" si="7"/>
        <v>176256</v>
      </c>
      <c r="U80" s="34">
        <v>3448</v>
      </c>
      <c r="V80" s="34">
        <v>28521</v>
      </c>
      <c r="W80" s="34">
        <v>4055</v>
      </c>
      <c r="X80" s="34">
        <v>21423</v>
      </c>
      <c r="Y80" s="34">
        <v>3683</v>
      </c>
      <c r="Z80" s="34">
        <v>2594</v>
      </c>
      <c r="AA80" s="34">
        <v>67195</v>
      </c>
      <c r="AB80" s="34">
        <v>5401</v>
      </c>
      <c r="AC80" s="34">
        <v>22954</v>
      </c>
      <c r="AD80" s="34">
        <v>16982</v>
      </c>
      <c r="AE80" s="34">
        <v>2845</v>
      </c>
    </row>
    <row r="81" spans="1:31" x14ac:dyDescent="0.3">
      <c r="A81" s="37">
        <v>43708</v>
      </c>
      <c r="B81" s="32">
        <f t="shared" si="9"/>
        <v>254525</v>
      </c>
      <c r="C81" s="33">
        <v>11782</v>
      </c>
      <c r="D81" s="30">
        <f t="shared" si="8"/>
        <v>59096</v>
      </c>
      <c r="E81" s="34">
        <v>1591</v>
      </c>
      <c r="F81" s="34">
        <v>5823</v>
      </c>
      <c r="G81" s="34">
        <v>2775</v>
      </c>
      <c r="H81" s="34">
        <v>7732</v>
      </c>
      <c r="I81" s="34">
        <v>2952</v>
      </c>
      <c r="J81" s="34">
        <v>1887</v>
      </c>
      <c r="K81" s="34">
        <v>1250</v>
      </c>
      <c r="L81" s="34">
        <v>1985</v>
      </c>
      <c r="M81" s="34">
        <v>1646</v>
      </c>
      <c r="N81" s="34">
        <v>3351</v>
      </c>
      <c r="O81" s="34">
        <v>2229</v>
      </c>
      <c r="P81" s="34">
        <v>1874</v>
      </c>
      <c r="Q81" s="34">
        <v>3592</v>
      </c>
      <c r="R81" s="34">
        <v>1030</v>
      </c>
      <c r="S81" s="34">
        <v>19379</v>
      </c>
      <c r="T81" s="30">
        <f t="shared" si="7"/>
        <v>180892</v>
      </c>
      <c r="U81" s="34">
        <v>3463</v>
      </c>
      <c r="V81" s="34">
        <v>28747</v>
      </c>
      <c r="W81" s="34">
        <v>4148</v>
      </c>
      <c r="X81" s="34">
        <v>21573</v>
      </c>
      <c r="Y81" s="34">
        <v>3747</v>
      </c>
      <c r="Z81" s="34">
        <v>2644</v>
      </c>
      <c r="AA81" s="34">
        <v>68410</v>
      </c>
      <c r="AB81" s="34">
        <v>5557</v>
      </c>
      <c r="AC81" s="34">
        <v>25253</v>
      </c>
      <c r="AD81" s="34">
        <v>17350</v>
      </c>
      <c r="AE81" s="34">
        <v>2755</v>
      </c>
    </row>
    <row r="82" spans="1:31" x14ac:dyDescent="0.3">
      <c r="A82" s="37">
        <v>43738</v>
      </c>
      <c r="B82" s="32">
        <f t="shared" si="9"/>
        <v>250003</v>
      </c>
      <c r="C82" s="35">
        <v>11586</v>
      </c>
      <c r="D82" s="30">
        <f t="shared" si="8"/>
        <v>58141</v>
      </c>
      <c r="E82" s="36">
        <v>1588</v>
      </c>
      <c r="F82" s="36">
        <v>5704</v>
      </c>
      <c r="G82" s="36">
        <v>2805</v>
      </c>
      <c r="H82" s="36">
        <v>7696</v>
      </c>
      <c r="I82" s="36">
        <v>3043</v>
      </c>
      <c r="J82" s="36">
        <v>1894</v>
      </c>
      <c r="K82" s="36">
        <v>1194</v>
      </c>
      <c r="L82" s="36">
        <v>1944</v>
      </c>
      <c r="M82" s="36">
        <v>1573</v>
      </c>
      <c r="N82" s="36">
        <v>3281</v>
      </c>
      <c r="O82" s="36">
        <v>2235</v>
      </c>
      <c r="P82" s="36">
        <v>1801</v>
      </c>
      <c r="Q82" s="36">
        <v>3541</v>
      </c>
      <c r="R82" s="36">
        <v>1036</v>
      </c>
      <c r="S82" s="36">
        <v>18806</v>
      </c>
      <c r="T82" s="30">
        <f t="shared" si="7"/>
        <v>177395</v>
      </c>
      <c r="U82" s="36">
        <v>3470</v>
      </c>
      <c r="V82" s="36">
        <v>28828</v>
      </c>
      <c r="W82" s="36">
        <v>4077</v>
      </c>
      <c r="X82" s="36">
        <v>20557</v>
      </c>
      <c r="Y82" s="36">
        <v>3745</v>
      </c>
      <c r="Z82" s="36">
        <v>2538</v>
      </c>
      <c r="AA82" s="36">
        <v>66534</v>
      </c>
      <c r="AB82" s="36">
        <v>5428</v>
      </c>
      <c r="AC82" s="36">
        <v>24870</v>
      </c>
      <c r="AD82" s="36">
        <v>17348</v>
      </c>
      <c r="AE82" s="36">
        <v>2881</v>
      </c>
    </row>
    <row r="83" spans="1:31" x14ac:dyDescent="0.3">
      <c r="A83" s="37">
        <v>43768</v>
      </c>
      <c r="B83" s="32">
        <f t="shared" si="9"/>
        <v>248375</v>
      </c>
      <c r="C83" s="35">
        <v>12184</v>
      </c>
      <c r="D83" s="30">
        <f t="shared" si="8"/>
        <v>57517</v>
      </c>
      <c r="E83" s="36">
        <v>1649</v>
      </c>
      <c r="F83" s="36">
        <v>6034</v>
      </c>
      <c r="G83" s="36">
        <v>2691</v>
      </c>
      <c r="H83" s="36">
        <v>7366</v>
      </c>
      <c r="I83" s="36">
        <v>2923</v>
      </c>
      <c r="J83" s="36">
        <v>1872</v>
      </c>
      <c r="K83" s="36">
        <v>1197</v>
      </c>
      <c r="L83" s="36">
        <v>1870</v>
      </c>
      <c r="M83" s="36">
        <v>1510</v>
      </c>
      <c r="N83" s="36">
        <v>3344</v>
      </c>
      <c r="O83" s="36">
        <v>2221</v>
      </c>
      <c r="P83" s="36">
        <v>1791</v>
      </c>
      <c r="Q83" s="36">
        <v>3432</v>
      </c>
      <c r="R83" s="36">
        <v>1061</v>
      </c>
      <c r="S83" s="36">
        <v>18556</v>
      </c>
      <c r="T83" s="30">
        <f t="shared" si="7"/>
        <v>175724</v>
      </c>
      <c r="U83" s="36">
        <v>3405</v>
      </c>
      <c r="V83" s="36">
        <v>28760</v>
      </c>
      <c r="W83" s="36">
        <v>4104</v>
      </c>
      <c r="X83" s="36">
        <v>22148</v>
      </c>
      <c r="Y83" s="36">
        <v>3740</v>
      </c>
      <c r="Z83" s="36">
        <v>2551</v>
      </c>
      <c r="AA83" s="36">
        <v>65946</v>
      </c>
      <c r="AB83" s="36">
        <v>5407</v>
      </c>
      <c r="AC83" s="36">
        <v>22217</v>
      </c>
      <c r="AD83" s="36">
        <v>17446</v>
      </c>
      <c r="AE83" s="36">
        <v>2950</v>
      </c>
    </row>
    <row r="84" spans="1:31" x14ac:dyDescent="0.3">
      <c r="A84" s="37">
        <v>43799</v>
      </c>
      <c r="B84" s="32">
        <f t="shared" si="9"/>
        <v>255397</v>
      </c>
      <c r="C84" s="29">
        <v>12919</v>
      </c>
      <c r="D84" s="30">
        <f t="shared" si="8"/>
        <v>57242</v>
      </c>
      <c r="E84" s="31">
        <v>1599</v>
      </c>
      <c r="F84" s="31">
        <v>6028</v>
      </c>
      <c r="G84" s="31">
        <v>2628</v>
      </c>
      <c r="H84" s="31">
        <v>7378</v>
      </c>
      <c r="I84" s="31">
        <v>2826</v>
      </c>
      <c r="J84" s="31">
        <v>1853</v>
      </c>
      <c r="K84" s="31">
        <v>1158</v>
      </c>
      <c r="L84" s="31">
        <v>1868</v>
      </c>
      <c r="M84" s="31">
        <v>1514</v>
      </c>
      <c r="N84" s="31">
        <v>3338</v>
      </c>
      <c r="O84" s="31">
        <v>2253</v>
      </c>
      <c r="P84" s="31">
        <v>1759</v>
      </c>
      <c r="Q84" s="31">
        <v>3344</v>
      </c>
      <c r="R84" s="31">
        <v>1059</v>
      </c>
      <c r="S84" s="31">
        <v>18637</v>
      </c>
      <c r="T84" s="30">
        <f t="shared" si="7"/>
        <v>182284</v>
      </c>
      <c r="U84" s="31">
        <v>3385</v>
      </c>
      <c r="V84" s="31">
        <v>28576</v>
      </c>
      <c r="W84" s="31">
        <v>4509</v>
      </c>
      <c r="X84" s="31">
        <v>27539</v>
      </c>
      <c r="Y84" s="31">
        <v>3674</v>
      </c>
      <c r="Z84" s="31">
        <v>2486</v>
      </c>
      <c r="AA84" s="31">
        <v>66888</v>
      </c>
      <c r="AB84" s="31">
        <v>5347</v>
      </c>
      <c r="AC84" s="31">
        <v>21245</v>
      </c>
      <c r="AD84" s="31">
        <v>18635</v>
      </c>
      <c r="AE84" s="31">
        <v>2952</v>
      </c>
    </row>
    <row r="85" spans="1:31" x14ac:dyDescent="0.3">
      <c r="A85" s="37">
        <v>43830</v>
      </c>
      <c r="B85" s="32">
        <f t="shared" si="9"/>
        <v>261350</v>
      </c>
      <c r="C85" s="29">
        <v>13341</v>
      </c>
      <c r="D85" s="30">
        <f t="shared" si="8"/>
        <v>58905</v>
      </c>
      <c r="E85" s="31">
        <v>1570</v>
      </c>
      <c r="F85" s="31">
        <v>6046</v>
      </c>
      <c r="G85" s="31">
        <v>2636</v>
      </c>
      <c r="H85" s="31">
        <v>7659</v>
      </c>
      <c r="I85" s="31">
        <v>2938</v>
      </c>
      <c r="J85" s="31">
        <v>1863</v>
      </c>
      <c r="K85" s="31">
        <v>1158</v>
      </c>
      <c r="L85" s="31">
        <v>1920</v>
      </c>
      <c r="M85" s="31">
        <v>1508</v>
      </c>
      <c r="N85" s="31">
        <v>3597</v>
      </c>
      <c r="O85" s="31">
        <v>2312</v>
      </c>
      <c r="P85" s="31">
        <v>1785</v>
      </c>
      <c r="Q85" s="31">
        <v>3348</v>
      </c>
      <c r="R85" s="31">
        <v>1077</v>
      </c>
      <c r="S85" s="31">
        <v>19488</v>
      </c>
      <c r="T85" s="30">
        <f t="shared" si="7"/>
        <v>186442</v>
      </c>
      <c r="U85" s="31">
        <v>3436</v>
      </c>
      <c r="V85" s="31">
        <v>28344</v>
      </c>
      <c r="W85" s="31">
        <v>4670</v>
      </c>
      <c r="X85" s="31">
        <v>28965</v>
      </c>
      <c r="Y85" s="31">
        <v>3599</v>
      </c>
      <c r="Z85" s="31">
        <v>2458</v>
      </c>
      <c r="AA85" s="31">
        <v>69775</v>
      </c>
      <c r="AB85" s="31">
        <v>5345</v>
      </c>
      <c r="AC85" s="31">
        <v>20990</v>
      </c>
      <c r="AD85" s="31">
        <v>18860</v>
      </c>
      <c r="AE85" s="31">
        <v>2662</v>
      </c>
    </row>
    <row r="86" spans="1:31" x14ac:dyDescent="0.3">
      <c r="A86" s="37">
        <v>43861</v>
      </c>
      <c r="B86" s="28">
        <f t="shared" si="9"/>
        <v>269995</v>
      </c>
      <c r="C86" s="29">
        <v>13274</v>
      </c>
      <c r="D86" s="30">
        <f t="shared" si="8"/>
        <v>60355</v>
      </c>
      <c r="E86" s="31">
        <v>1703</v>
      </c>
      <c r="F86" s="31">
        <v>6385</v>
      </c>
      <c r="G86" s="31">
        <v>2653</v>
      </c>
      <c r="H86" s="31">
        <v>7858</v>
      </c>
      <c r="I86" s="31">
        <v>2988</v>
      </c>
      <c r="J86" s="31">
        <v>1903</v>
      </c>
      <c r="K86" s="31">
        <v>1204</v>
      </c>
      <c r="L86" s="31">
        <v>1982</v>
      </c>
      <c r="M86" s="31">
        <v>1564</v>
      </c>
      <c r="N86" s="31">
        <v>3536</v>
      </c>
      <c r="O86" s="31">
        <v>2355</v>
      </c>
      <c r="P86" s="31">
        <v>1870</v>
      </c>
      <c r="Q86" s="31">
        <v>3467</v>
      </c>
      <c r="R86" s="31">
        <v>1135</v>
      </c>
      <c r="S86" s="31">
        <v>19752</v>
      </c>
      <c r="T86" s="30">
        <f t="shared" si="7"/>
        <v>193628</v>
      </c>
      <c r="U86" s="31">
        <v>3564</v>
      </c>
      <c r="V86" s="31">
        <v>30345</v>
      </c>
      <c r="W86" s="31">
        <v>4923</v>
      </c>
      <c r="X86" s="31">
        <v>30609</v>
      </c>
      <c r="Y86" s="31">
        <v>3706</v>
      </c>
      <c r="Z86" s="31">
        <v>2547</v>
      </c>
      <c r="AA86" s="31">
        <v>71163</v>
      </c>
      <c r="AB86" s="31">
        <v>5621</v>
      </c>
      <c r="AC86" s="31">
        <v>21544</v>
      </c>
      <c r="AD86" s="31">
        <v>19606</v>
      </c>
      <c r="AE86" s="31">
        <v>2738</v>
      </c>
    </row>
    <row r="87" spans="1:31" x14ac:dyDescent="0.3">
      <c r="A87" s="37">
        <v>43889</v>
      </c>
      <c r="B87" s="28">
        <f t="shared" si="9"/>
        <v>265698</v>
      </c>
      <c r="C87" s="29">
        <v>12915</v>
      </c>
      <c r="D87" s="30">
        <f t="shared" si="8"/>
        <v>60058</v>
      </c>
      <c r="E87" s="31">
        <v>1704</v>
      </c>
      <c r="F87" s="31">
        <v>6300</v>
      </c>
      <c r="G87" s="31">
        <v>2672</v>
      </c>
      <c r="H87" s="31">
        <v>8095</v>
      </c>
      <c r="I87" s="31">
        <v>3111</v>
      </c>
      <c r="J87" s="31">
        <v>1895</v>
      </c>
      <c r="K87" s="31">
        <v>1189</v>
      </c>
      <c r="L87" s="31">
        <v>2029</v>
      </c>
      <c r="M87" s="31">
        <v>1522</v>
      </c>
      <c r="N87" s="31">
        <v>3462</v>
      </c>
      <c r="O87" s="31">
        <v>2325</v>
      </c>
      <c r="P87" s="31">
        <v>1855</v>
      </c>
      <c r="Q87" s="31">
        <v>3439</v>
      </c>
      <c r="R87" s="31">
        <v>1086</v>
      </c>
      <c r="S87" s="31">
        <v>19374</v>
      </c>
      <c r="T87" s="30">
        <f t="shared" si="7"/>
        <v>190097</v>
      </c>
      <c r="U87" s="31">
        <v>3547</v>
      </c>
      <c r="V87" s="31">
        <v>30257</v>
      </c>
      <c r="W87" s="31">
        <v>4877</v>
      </c>
      <c r="X87" s="31">
        <v>29220</v>
      </c>
      <c r="Y87" s="31">
        <v>3686</v>
      </c>
      <c r="Z87" s="31">
        <v>2481</v>
      </c>
      <c r="AA87" s="31">
        <v>70277</v>
      </c>
      <c r="AB87" s="31">
        <v>5540</v>
      </c>
      <c r="AC87" s="31">
        <v>20956</v>
      </c>
      <c r="AD87" s="31">
        <v>19256</v>
      </c>
      <c r="AE87" s="31">
        <v>2628</v>
      </c>
    </row>
    <row r="88" spans="1:31" x14ac:dyDescent="0.3">
      <c r="A88" s="37">
        <v>43921</v>
      </c>
      <c r="B88" s="28">
        <f t="shared" si="9"/>
        <v>294178</v>
      </c>
      <c r="C88" s="35">
        <v>14275</v>
      </c>
      <c r="D88" s="30">
        <f t="shared" si="8"/>
        <v>66358</v>
      </c>
      <c r="E88" s="36">
        <v>1811</v>
      </c>
      <c r="F88" s="36">
        <v>6661</v>
      </c>
      <c r="G88" s="36">
        <v>2897</v>
      </c>
      <c r="H88" s="36">
        <v>9039</v>
      </c>
      <c r="I88" s="36">
        <v>3549</v>
      </c>
      <c r="J88" s="36">
        <v>1985</v>
      </c>
      <c r="K88" s="36">
        <v>1231</v>
      </c>
      <c r="L88" s="36">
        <v>2109</v>
      </c>
      <c r="M88" s="36">
        <v>1659</v>
      </c>
      <c r="N88" s="36">
        <v>4189</v>
      </c>
      <c r="O88" s="36">
        <v>2586</v>
      </c>
      <c r="P88" s="36">
        <v>2068</v>
      </c>
      <c r="Q88" s="36">
        <v>3923</v>
      </c>
      <c r="R88" s="36">
        <v>1094</v>
      </c>
      <c r="S88" s="36">
        <v>21557</v>
      </c>
      <c r="T88" s="30">
        <f t="shared" si="7"/>
        <v>209840</v>
      </c>
      <c r="U88" s="36">
        <v>3731</v>
      </c>
      <c r="V88" s="36">
        <v>32382</v>
      </c>
      <c r="W88" s="36">
        <v>5185</v>
      </c>
      <c r="X88" s="36">
        <v>32762</v>
      </c>
      <c r="Y88" s="36">
        <v>3854</v>
      </c>
      <c r="Z88" s="36">
        <v>2558</v>
      </c>
      <c r="AA88" s="36">
        <v>81537</v>
      </c>
      <c r="AB88" s="36">
        <v>5869</v>
      </c>
      <c r="AC88" s="36">
        <v>21766</v>
      </c>
      <c r="AD88" s="36">
        <v>20196</v>
      </c>
      <c r="AE88" s="36">
        <v>3705</v>
      </c>
    </row>
    <row r="89" spans="1:31" x14ac:dyDescent="0.3">
      <c r="A89" s="37">
        <v>43951</v>
      </c>
      <c r="B89" s="28">
        <f t="shared" si="9"/>
        <v>342484</v>
      </c>
      <c r="C89" s="35">
        <v>14742</v>
      </c>
      <c r="D89" s="30">
        <f t="shared" si="8"/>
        <v>75757</v>
      </c>
      <c r="E89" s="36">
        <v>1960</v>
      </c>
      <c r="F89" s="36">
        <v>7257</v>
      </c>
      <c r="G89" s="36">
        <v>3258</v>
      </c>
      <c r="H89" s="36">
        <v>10737</v>
      </c>
      <c r="I89" s="36">
        <v>4625</v>
      </c>
      <c r="J89" s="36">
        <v>2091</v>
      </c>
      <c r="K89" s="36">
        <v>1325</v>
      </c>
      <c r="L89" s="36">
        <v>2436</v>
      </c>
      <c r="M89" s="36">
        <v>1882</v>
      </c>
      <c r="N89" s="36">
        <v>4766</v>
      </c>
      <c r="O89" s="36">
        <v>2869</v>
      </c>
      <c r="P89" s="36">
        <v>2446</v>
      </c>
      <c r="Q89" s="36">
        <v>4370</v>
      </c>
      <c r="R89" s="36">
        <v>1230</v>
      </c>
      <c r="S89" s="36">
        <v>24505</v>
      </c>
      <c r="T89" s="30">
        <f t="shared" si="7"/>
        <v>245552</v>
      </c>
      <c r="U89" s="36">
        <v>4256</v>
      </c>
      <c r="V89" s="36">
        <v>36333</v>
      </c>
      <c r="W89" s="36">
        <v>6145</v>
      </c>
      <c r="X89" s="36">
        <v>39676</v>
      </c>
      <c r="Y89" s="36">
        <v>4228</v>
      </c>
      <c r="Z89" s="36">
        <v>2680</v>
      </c>
      <c r="AA89" s="36">
        <v>100698</v>
      </c>
      <c r="AB89" s="36">
        <v>6488</v>
      </c>
      <c r="AC89" s="36">
        <v>22775</v>
      </c>
      <c r="AD89" s="36">
        <v>22273</v>
      </c>
      <c r="AE89" s="36">
        <v>6433</v>
      </c>
    </row>
    <row r="90" spans="1:31" x14ac:dyDescent="0.3">
      <c r="A90" s="37">
        <v>43982</v>
      </c>
      <c r="B90" s="28">
        <f t="shared" si="9"/>
        <v>358876</v>
      </c>
      <c r="C90" s="29">
        <v>14060</v>
      </c>
      <c r="D90" s="30">
        <f t="shared" si="8"/>
        <v>77096</v>
      </c>
      <c r="E90" s="34">
        <v>2033</v>
      </c>
      <c r="F90" s="34">
        <v>7548</v>
      </c>
      <c r="G90" s="34">
        <v>3402</v>
      </c>
      <c r="H90" s="34">
        <v>10983</v>
      </c>
      <c r="I90" s="34">
        <v>4830</v>
      </c>
      <c r="J90" s="34">
        <v>2126</v>
      </c>
      <c r="K90" s="34">
        <v>1368</v>
      </c>
      <c r="L90" s="34">
        <v>2528</v>
      </c>
      <c r="M90" s="34">
        <v>1991</v>
      </c>
      <c r="N90" s="34">
        <v>4765</v>
      </c>
      <c r="O90" s="34">
        <v>2948</v>
      </c>
      <c r="P90" s="34">
        <v>2638</v>
      </c>
      <c r="Q90" s="34">
        <v>4543</v>
      </c>
      <c r="R90" s="34">
        <v>1253</v>
      </c>
      <c r="S90" s="34">
        <v>24140</v>
      </c>
      <c r="T90" s="30">
        <f t="shared" si="7"/>
        <v>259991</v>
      </c>
      <c r="U90" s="34">
        <v>4532</v>
      </c>
      <c r="V90" s="34">
        <v>38386</v>
      </c>
      <c r="W90" s="34">
        <v>6788</v>
      </c>
      <c r="X90" s="34">
        <v>42691</v>
      </c>
      <c r="Y90" s="34">
        <v>4448</v>
      </c>
      <c r="Z90" s="34">
        <v>2702</v>
      </c>
      <c r="AA90" s="34">
        <v>107596</v>
      </c>
      <c r="AB90" s="34">
        <v>6660</v>
      </c>
      <c r="AC90" s="34">
        <v>23012</v>
      </c>
      <c r="AD90" s="34">
        <v>23176</v>
      </c>
      <c r="AE90" s="34">
        <v>7729</v>
      </c>
    </row>
    <row r="91" spans="1:31" x14ac:dyDescent="0.3">
      <c r="A91" s="37">
        <v>44012</v>
      </c>
      <c r="B91" s="28">
        <f t="shared" si="9"/>
        <v>356577</v>
      </c>
      <c r="C91" s="29">
        <v>13179</v>
      </c>
      <c r="D91" s="30">
        <f t="shared" si="8"/>
        <v>74925</v>
      </c>
      <c r="E91" s="34">
        <v>2031</v>
      </c>
      <c r="F91" s="34">
        <v>7540</v>
      </c>
      <c r="G91" s="34">
        <v>3343</v>
      </c>
      <c r="H91" s="34">
        <v>10571</v>
      </c>
      <c r="I91" s="34">
        <v>4697</v>
      </c>
      <c r="J91" s="34">
        <v>2131</v>
      </c>
      <c r="K91" s="34">
        <v>1400</v>
      </c>
      <c r="L91" s="34">
        <v>2499</v>
      </c>
      <c r="M91" s="34">
        <v>1966</v>
      </c>
      <c r="N91" s="34">
        <v>4570</v>
      </c>
      <c r="O91" s="34">
        <v>2945</v>
      </c>
      <c r="P91" s="34">
        <v>2663</v>
      </c>
      <c r="Q91" s="34">
        <v>4389</v>
      </c>
      <c r="R91" s="34">
        <v>1253</v>
      </c>
      <c r="S91" s="34">
        <v>22927</v>
      </c>
      <c r="T91" s="30">
        <f t="shared" si="7"/>
        <v>260181</v>
      </c>
      <c r="U91" s="34">
        <v>4546</v>
      </c>
      <c r="V91" s="34">
        <v>38633</v>
      </c>
      <c r="W91" s="34">
        <v>6944</v>
      </c>
      <c r="X91" s="34">
        <v>43667</v>
      </c>
      <c r="Y91" s="34">
        <v>4504</v>
      </c>
      <c r="Z91" s="34">
        <v>2675</v>
      </c>
      <c r="AA91" s="34">
        <v>106052</v>
      </c>
      <c r="AB91" s="34">
        <v>6716</v>
      </c>
      <c r="AC91" s="34">
        <v>23106</v>
      </c>
      <c r="AD91" s="34">
        <v>23338</v>
      </c>
      <c r="AE91" s="34">
        <v>8292</v>
      </c>
    </row>
    <row r="92" spans="1:31" x14ac:dyDescent="0.3">
      <c r="A92" s="37">
        <v>44043</v>
      </c>
      <c r="B92" s="28">
        <f t="shared" si="9"/>
        <v>355633</v>
      </c>
      <c r="C92" s="35">
        <v>13561</v>
      </c>
      <c r="D92" s="30">
        <f t="shared" si="8"/>
        <v>73654</v>
      </c>
      <c r="E92" s="36">
        <v>2066</v>
      </c>
      <c r="F92" s="36">
        <v>7555</v>
      </c>
      <c r="G92" s="36">
        <v>3332</v>
      </c>
      <c r="H92" s="36">
        <v>10391</v>
      </c>
      <c r="I92" s="36">
        <v>4601</v>
      </c>
      <c r="J92" s="36">
        <v>2158</v>
      </c>
      <c r="K92" s="36">
        <v>1444</v>
      </c>
      <c r="L92" s="36">
        <v>2477</v>
      </c>
      <c r="M92" s="36">
        <v>1955</v>
      </c>
      <c r="N92" s="36">
        <v>4433</v>
      </c>
      <c r="O92" s="36">
        <v>2898</v>
      </c>
      <c r="P92" s="36">
        <v>2681</v>
      </c>
      <c r="Q92" s="36">
        <v>4267</v>
      </c>
      <c r="R92" s="36">
        <v>1253</v>
      </c>
      <c r="S92" s="36">
        <v>22143</v>
      </c>
      <c r="T92" s="30">
        <f t="shared" si="7"/>
        <v>259882</v>
      </c>
      <c r="U92" s="36">
        <v>4541</v>
      </c>
      <c r="V92" s="36">
        <v>38715</v>
      </c>
      <c r="W92" s="36">
        <v>6917</v>
      </c>
      <c r="X92" s="36">
        <v>42137</v>
      </c>
      <c r="Y92" s="36">
        <v>4512</v>
      </c>
      <c r="Z92" s="36">
        <v>2712</v>
      </c>
      <c r="AA92" s="36">
        <v>105149</v>
      </c>
      <c r="AB92" s="36">
        <v>6768</v>
      </c>
      <c r="AC92" s="36">
        <v>24860</v>
      </c>
      <c r="AD92" s="36">
        <v>23571</v>
      </c>
      <c r="AE92" s="36">
        <v>8536</v>
      </c>
    </row>
    <row r="93" spans="1:31" x14ac:dyDescent="0.3">
      <c r="A93" s="37">
        <v>44074</v>
      </c>
      <c r="B93" s="28">
        <f t="shared" si="9"/>
        <v>355053</v>
      </c>
      <c r="C93" s="35">
        <v>13436</v>
      </c>
      <c r="D93" s="30">
        <f t="shared" si="8"/>
        <v>74402</v>
      </c>
      <c r="E93" s="36">
        <v>2038</v>
      </c>
      <c r="F93" s="36">
        <v>7524</v>
      </c>
      <c r="G93" s="36">
        <v>3411</v>
      </c>
      <c r="H93" s="36">
        <v>10922</v>
      </c>
      <c r="I93" s="36">
        <v>4650</v>
      </c>
      <c r="J93" s="36">
        <v>2197</v>
      </c>
      <c r="K93" s="36">
        <v>1466</v>
      </c>
      <c r="L93" s="36">
        <v>2508</v>
      </c>
      <c r="M93" s="36">
        <v>1988</v>
      </c>
      <c r="N93" s="36">
        <v>4393</v>
      </c>
      <c r="O93" s="36">
        <v>2979</v>
      </c>
      <c r="P93" s="36">
        <v>2734</v>
      </c>
      <c r="Q93" s="36">
        <v>4302</v>
      </c>
      <c r="R93" s="36">
        <v>1252</v>
      </c>
      <c r="S93" s="36">
        <v>22038</v>
      </c>
      <c r="T93" s="30">
        <f t="shared" si="7"/>
        <v>258390</v>
      </c>
      <c r="U93" s="36">
        <v>4507</v>
      </c>
      <c r="V93" s="36">
        <v>38432</v>
      </c>
      <c r="W93" s="36">
        <v>6780</v>
      </c>
      <c r="X93" s="36">
        <v>40642</v>
      </c>
      <c r="Y93" s="36">
        <v>4510</v>
      </c>
      <c r="Z93" s="36">
        <v>2720</v>
      </c>
      <c r="AA93" s="36">
        <v>103406</v>
      </c>
      <c r="AB93" s="36">
        <v>6949</v>
      </c>
      <c r="AC93" s="36">
        <v>26692</v>
      </c>
      <c r="AD93" s="36">
        <v>23752</v>
      </c>
      <c r="AE93" s="36">
        <v>8825</v>
      </c>
    </row>
    <row r="94" spans="1:31" x14ac:dyDescent="0.3">
      <c r="A94" s="37">
        <v>44104</v>
      </c>
      <c r="B94" s="28">
        <f t="shared" si="9"/>
        <v>352732</v>
      </c>
      <c r="C94" s="35">
        <v>13488</v>
      </c>
      <c r="D94" s="30">
        <f t="shared" si="8"/>
        <v>73279</v>
      </c>
      <c r="E94" s="36">
        <v>2098</v>
      </c>
      <c r="F94" s="36">
        <v>7497</v>
      </c>
      <c r="G94" s="36">
        <v>3428</v>
      </c>
      <c r="H94" s="36">
        <v>10476</v>
      </c>
      <c r="I94" s="36">
        <v>4641</v>
      </c>
      <c r="J94" s="36">
        <v>2185</v>
      </c>
      <c r="K94" s="36">
        <v>1433</v>
      </c>
      <c r="L94" s="36">
        <v>2462</v>
      </c>
      <c r="M94" s="36">
        <v>1913</v>
      </c>
      <c r="N94" s="36">
        <v>4219</v>
      </c>
      <c r="O94" s="36">
        <v>2906</v>
      </c>
      <c r="P94" s="36">
        <v>2638</v>
      </c>
      <c r="Q94" s="36">
        <v>4269</v>
      </c>
      <c r="R94" s="36">
        <v>1262</v>
      </c>
      <c r="S94" s="36">
        <v>21852</v>
      </c>
      <c r="T94" s="30">
        <f t="shared" si="7"/>
        <v>256607</v>
      </c>
      <c r="U94" s="36">
        <v>4424</v>
      </c>
      <c r="V94" s="36">
        <v>38692</v>
      </c>
      <c r="W94" s="36">
        <v>6840</v>
      </c>
      <c r="X94" s="36">
        <v>39360</v>
      </c>
      <c r="Y94" s="36">
        <v>4531</v>
      </c>
      <c r="Z94" s="36">
        <v>2759</v>
      </c>
      <c r="AA94" s="36">
        <v>101839</v>
      </c>
      <c r="AB94" s="36">
        <v>7198</v>
      </c>
      <c r="AC94" s="36">
        <v>26961</v>
      </c>
      <c r="AD94" s="36">
        <v>24003</v>
      </c>
      <c r="AE94" s="36">
        <v>9358</v>
      </c>
    </row>
    <row r="95" spans="1:31" x14ac:dyDescent="0.3">
      <c r="A95" s="37">
        <v>44134</v>
      </c>
      <c r="B95" s="28">
        <f t="shared" si="9"/>
        <v>344821</v>
      </c>
      <c r="C95" s="35">
        <v>13769</v>
      </c>
      <c r="D95" s="30">
        <f t="shared" si="8"/>
        <v>71420</v>
      </c>
      <c r="E95" s="36">
        <v>2003</v>
      </c>
      <c r="F95" s="36">
        <v>7474</v>
      </c>
      <c r="G95" s="36">
        <v>3264</v>
      </c>
      <c r="H95" s="36">
        <v>10013</v>
      </c>
      <c r="I95" s="36">
        <v>4745</v>
      </c>
      <c r="J95" s="36">
        <v>2174</v>
      </c>
      <c r="K95" s="36">
        <v>1379</v>
      </c>
      <c r="L95" s="36">
        <v>2380</v>
      </c>
      <c r="M95" s="36">
        <v>1868</v>
      </c>
      <c r="N95" s="36">
        <v>4072</v>
      </c>
      <c r="O95" s="36">
        <v>2811</v>
      </c>
      <c r="P95" s="36">
        <v>2594</v>
      </c>
      <c r="Q95" s="36">
        <v>4133</v>
      </c>
      <c r="R95" s="36">
        <v>1250</v>
      </c>
      <c r="S95" s="36">
        <v>21260</v>
      </c>
      <c r="T95" s="30">
        <f t="shared" si="7"/>
        <v>249989</v>
      </c>
      <c r="U95" s="36">
        <v>4293</v>
      </c>
      <c r="V95" s="36">
        <v>37764</v>
      </c>
      <c r="W95" s="36">
        <v>6701</v>
      </c>
      <c r="X95" s="36">
        <v>40557</v>
      </c>
      <c r="Y95" s="36">
        <v>4470</v>
      </c>
      <c r="Z95" s="36">
        <v>2702</v>
      </c>
      <c r="AA95" s="36">
        <v>98873</v>
      </c>
      <c r="AB95" s="36">
        <v>7065</v>
      </c>
      <c r="AC95" s="36">
        <v>23758</v>
      </c>
      <c r="AD95" s="36">
        <v>23806</v>
      </c>
      <c r="AE95" s="36">
        <v>9643</v>
      </c>
    </row>
    <row r="96" spans="1:31" x14ac:dyDescent="0.3">
      <c r="A96" s="37">
        <v>44165</v>
      </c>
      <c r="B96" s="28">
        <f t="shared" si="9"/>
        <v>339138</v>
      </c>
      <c r="C96" s="35">
        <v>14059</v>
      </c>
      <c r="D96" s="30">
        <f t="shared" si="8"/>
        <v>69364</v>
      </c>
      <c r="E96" s="36">
        <v>1908</v>
      </c>
      <c r="F96" s="36">
        <v>7348</v>
      </c>
      <c r="G96" s="36">
        <v>3179</v>
      </c>
      <c r="H96" s="36">
        <v>9620</v>
      </c>
      <c r="I96" s="36">
        <v>4559</v>
      </c>
      <c r="J96" s="36">
        <v>2122</v>
      </c>
      <c r="K96" s="36">
        <v>1313</v>
      </c>
      <c r="L96" s="36">
        <v>2245</v>
      </c>
      <c r="M96" s="36">
        <v>1813</v>
      </c>
      <c r="N96" s="36">
        <v>3900</v>
      </c>
      <c r="O96" s="36">
        <v>2668</v>
      </c>
      <c r="P96" s="36">
        <v>2462</v>
      </c>
      <c r="Q96" s="36">
        <v>4034</v>
      </c>
      <c r="R96" s="36">
        <v>1227</v>
      </c>
      <c r="S96" s="36">
        <v>20966</v>
      </c>
      <c r="T96" s="30">
        <f t="shared" si="7"/>
        <v>246104</v>
      </c>
      <c r="U96" s="36">
        <v>4147</v>
      </c>
      <c r="V96" s="36">
        <v>36429</v>
      </c>
      <c r="W96" s="36">
        <v>6628</v>
      </c>
      <c r="X96" s="36">
        <v>43793</v>
      </c>
      <c r="Y96" s="36">
        <v>4217</v>
      </c>
      <c r="Z96" s="36">
        <v>2600</v>
      </c>
      <c r="AA96" s="36">
        <v>96108</v>
      </c>
      <c r="AB96" s="36">
        <v>6755</v>
      </c>
      <c r="AC96" s="36">
        <v>21831</v>
      </c>
      <c r="AD96" s="36">
        <v>23596</v>
      </c>
      <c r="AE96" s="36">
        <v>9611</v>
      </c>
    </row>
    <row r="97" spans="1:31" x14ac:dyDescent="0.3">
      <c r="A97" s="37">
        <v>44196</v>
      </c>
      <c r="B97" s="28">
        <f t="shared" si="9"/>
        <v>343770</v>
      </c>
      <c r="C97" s="35">
        <v>15266</v>
      </c>
      <c r="D97" s="30">
        <f t="shared" si="8"/>
        <v>69527</v>
      </c>
      <c r="E97" s="36">
        <v>1852</v>
      </c>
      <c r="F97" s="36">
        <v>7331</v>
      </c>
      <c r="G97" s="36">
        <v>3069</v>
      </c>
      <c r="H97" s="36">
        <v>9391</v>
      </c>
      <c r="I97" s="36">
        <v>4455</v>
      </c>
      <c r="J97" s="36">
        <v>2105</v>
      </c>
      <c r="K97" s="36">
        <v>1320</v>
      </c>
      <c r="L97" s="36">
        <v>2280</v>
      </c>
      <c r="M97" s="36">
        <v>1823</v>
      </c>
      <c r="N97" s="36">
        <v>3974</v>
      </c>
      <c r="O97" s="36">
        <v>2629</v>
      </c>
      <c r="P97" s="36">
        <v>2408</v>
      </c>
      <c r="Q97" s="36">
        <v>4038</v>
      </c>
      <c r="R97" s="36">
        <v>1208</v>
      </c>
      <c r="S97" s="36">
        <v>21644</v>
      </c>
      <c r="T97" s="30">
        <f t="shared" ref="T97:T109" si="10">SUM(U97:AD97)</f>
        <v>249340</v>
      </c>
      <c r="U97" s="36">
        <v>4130</v>
      </c>
      <c r="V97" s="36">
        <v>35768</v>
      </c>
      <c r="W97" s="36">
        <v>6738</v>
      </c>
      <c r="X97" s="36">
        <v>45690</v>
      </c>
      <c r="Y97" s="36">
        <v>4169</v>
      </c>
      <c r="Z97" s="36">
        <v>2561</v>
      </c>
      <c r="AA97" s="36">
        <v>98765</v>
      </c>
      <c r="AB97" s="36">
        <v>6694</v>
      </c>
      <c r="AC97" s="36">
        <v>21353</v>
      </c>
      <c r="AD97" s="36">
        <v>23472</v>
      </c>
      <c r="AE97" s="36">
        <v>9637</v>
      </c>
    </row>
    <row r="98" spans="1:31" x14ac:dyDescent="0.3">
      <c r="A98" s="37">
        <v>44227</v>
      </c>
      <c r="B98" s="28">
        <f t="shared" si="9"/>
        <v>269995</v>
      </c>
      <c r="C98" s="29">
        <v>13274</v>
      </c>
      <c r="D98" s="30">
        <f t="shared" ref="D98:D109" si="11">SUM(E98:S98)</f>
        <v>60355</v>
      </c>
      <c r="E98" s="31">
        <v>1703</v>
      </c>
      <c r="F98" s="31">
        <v>6385</v>
      </c>
      <c r="G98" s="31">
        <v>2653</v>
      </c>
      <c r="H98" s="31">
        <v>7858</v>
      </c>
      <c r="I98" s="31">
        <v>2988</v>
      </c>
      <c r="J98" s="31">
        <v>1903</v>
      </c>
      <c r="K98" s="31">
        <v>1204</v>
      </c>
      <c r="L98" s="31">
        <v>1982</v>
      </c>
      <c r="M98" s="31">
        <v>1564</v>
      </c>
      <c r="N98" s="31">
        <v>3536</v>
      </c>
      <c r="O98" s="31">
        <v>2355</v>
      </c>
      <c r="P98" s="31">
        <v>1870</v>
      </c>
      <c r="Q98" s="31">
        <v>3467</v>
      </c>
      <c r="R98" s="31">
        <v>1135</v>
      </c>
      <c r="S98" s="31">
        <v>19752</v>
      </c>
      <c r="T98" s="30">
        <f t="shared" si="10"/>
        <v>193628</v>
      </c>
      <c r="U98" s="31">
        <v>3564</v>
      </c>
      <c r="V98" s="31">
        <v>30345</v>
      </c>
      <c r="W98" s="31">
        <v>4923</v>
      </c>
      <c r="X98" s="31">
        <v>30609</v>
      </c>
      <c r="Y98" s="31">
        <v>3706</v>
      </c>
      <c r="Z98" s="31">
        <v>2547</v>
      </c>
      <c r="AA98" s="31">
        <v>71163</v>
      </c>
      <c r="AB98" s="31">
        <v>5621</v>
      </c>
      <c r="AC98" s="31">
        <v>21544</v>
      </c>
      <c r="AD98" s="31">
        <v>19606</v>
      </c>
      <c r="AE98" s="31">
        <v>2738</v>
      </c>
    </row>
    <row r="99" spans="1:31" x14ac:dyDescent="0.3">
      <c r="A99" s="37">
        <v>44255</v>
      </c>
      <c r="B99" s="28">
        <f t="shared" si="9"/>
        <v>265698</v>
      </c>
      <c r="C99" s="29">
        <v>12915</v>
      </c>
      <c r="D99" s="30">
        <f t="shared" si="11"/>
        <v>60058</v>
      </c>
      <c r="E99" s="31">
        <v>1704</v>
      </c>
      <c r="F99" s="31">
        <v>6300</v>
      </c>
      <c r="G99" s="31">
        <v>2672</v>
      </c>
      <c r="H99" s="31">
        <v>8095</v>
      </c>
      <c r="I99" s="31">
        <v>3111</v>
      </c>
      <c r="J99" s="31">
        <v>1895</v>
      </c>
      <c r="K99" s="31">
        <v>1189</v>
      </c>
      <c r="L99" s="31">
        <v>2029</v>
      </c>
      <c r="M99" s="31">
        <v>1522</v>
      </c>
      <c r="N99" s="31">
        <v>3462</v>
      </c>
      <c r="O99" s="31">
        <v>2325</v>
      </c>
      <c r="P99" s="31">
        <v>1855</v>
      </c>
      <c r="Q99" s="31">
        <v>3439</v>
      </c>
      <c r="R99" s="31">
        <v>1086</v>
      </c>
      <c r="S99" s="31">
        <v>19374</v>
      </c>
      <c r="T99" s="30">
        <f t="shared" si="10"/>
        <v>190097</v>
      </c>
      <c r="U99" s="31">
        <v>3547</v>
      </c>
      <c r="V99" s="31">
        <v>30257</v>
      </c>
      <c r="W99" s="31">
        <v>4877</v>
      </c>
      <c r="X99" s="31">
        <v>29220</v>
      </c>
      <c r="Y99" s="31">
        <v>3686</v>
      </c>
      <c r="Z99" s="31">
        <v>2481</v>
      </c>
      <c r="AA99" s="31">
        <v>70277</v>
      </c>
      <c r="AB99" s="31">
        <v>5540</v>
      </c>
      <c r="AC99" s="31">
        <v>20956</v>
      </c>
      <c r="AD99" s="31">
        <v>19256</v>
      </c>
      <c r="AE99" s="31">
        <v>2628</v>
      </c>
    </row>
    <row r="100" spans="1:31" x14ac:dyDescent="0.3">
      <c r="A100" s="37">
        <v>44286</v>
      </c>
      <c r="B100" s="28">
        <f t="shared" si="9"/>
        <v>294178</v>
      </c>
      <c r="C100" s="35">
        <v>14275</v>
      </c>
      <c r="D100" s="30">
        <f t="shared" si="11"/>
        <v>66358</v>
      </c>
      <c r="E100" s="36">
        <v>1811</v>
      </c>
      <c r="F100" s="36">
        <v>6661</v>
      </c>
      <c r="G100" s="36">
        <v>2897</v>
      </c>
      <c r="H100" s="36">
        <v>9039</v>
      </c>
      <c r="I100" s="36">
        <v>3549</v>
      </c>
      <c r="J100" s="36">
        <v>1985</v>
      </c>
      <c r="K100" s="36">
        <v>1231</v>
      </c>
      <c r="L100" s="36">
        <v>2109</v>
      </c>
      <c r="M100" s="36">
        <v>1659</v>
      </c>
      <c r="N100" s="36">
        <v>4189</v>
      </c>
      <c r="O100" s="36">
        <v>2586</v>
      </c>
      <c r="P100" s="36">
        <v>2068</v>
      </c>
      <c r="Q100" s="36">
        <v>3923</v>
      </c>
      <c r="R100" s="36">
        <v>1094</v>
      </c>
      <c r="S100" s="36">
        <v>21557</v>
      </c>
      <c r="T100" s="30">
        <f t="shared" si="10"/>
        <v>209840</v>
      </c>
      <c r="U100" s="36">
        <v>3731</v>
      </c>
      <c r="V100" s="36">
        <v>32382</v>
      </c>
      <c r="W100" s="36">
        <v>5185</v>
      </c>
      <c r="X100" s="36">
        <v>32762</v>
      </c>
      <c r="Y100" s="36">
        <v>3854</v>
      </c>
      <c r="Z100" s="36">
        <v>2558</v>
      </c>
      <c r="AA100" s="36">
        <v>81537</v>
      </c>
      <c r="AB100" s="36">
        <v>5869</v>
      </c>
      <c r="AC100" s="36">
        <v>21766</v>
      </c>
      <c r="AD100" s="36">
        <v>20196</v>
      </c>
      <c r="AE100" s="36">
        <v>3705</v>
      </c>
    </row>
    <row r="101" spans="1:31" x14ac:dyDescent="0.3">
      <c r="A101" s="37">
        <v>44316</v>
      </c>
      <c r="B101" s="28">
        <f t="shared" si="9"/>
        <v>342484</v>
      </c>
      <c r="C101" s="35">
        <v>14742</v>
      </c>
      <c r="D101" s="30">
        <f t="shared" si="11"/>
        <v>75757</v>
      </c>
      <c r="E101" s="36">
        <v>1960</v>
      </c>
      <c r="F101" s="36">
        <v>7257</v>
      </c>
      <c r="G101" s="36">
        <v>3258</v>
      </c>
      <c r="H101" s="36">
        <v>10737</v>
      </c>
      <c r="I101" s="36">
        <v>4625</v>
      </c>
      <c r="J101" s="36">
        <v>2091</v>
      </c>
      <c r="K101" s="36">
        <v>1325</v>
      </c>
      <c r="L101" s="36">
        <v>2436</v>
      </c>
      <c r="M101" s="36">
        <v>1882</v>
      </c>
      <c r="N101" s="36">
        <v>4766</v>
      </c>
      <c r="O101" s="36">
        <v>2869</v>
      </c>
      <c r="P101" s="36">
        <v>2446</v>
      </c>
      <c r="Q101" s="36">
        <v>4370</v>
      </c>
      <c r="R101" s="36">
        <v>1230</v>
      </c>
      <c r="S101" s="36">
        <v>24505</v>
      </c>
      <c r="T101" s="30">
        <f t="shared" si="10"/>
        <v>245552</v>
      </c>
      <c r="U101" s="36">
        <v>4256</v>
      </c>
      <c r="V101" s="36">
        <v>36333</v>
      </c>
      <c r="W101" s="36">
        <v>6145</v>
      </c>
      <c r="X101" s="36">
        <v>39676</v>
      </c>
      <c r="Y101" s="36">
        <v>4228</v>
      </c>
      <c r="Z101" s="36">
        <v>2680</v>
      </c>
      <c r="AA101" s="36">
        <v>100698</v>
      </c>
      <c r="AB101" s="36">
        <v>6488</v>
      </c>
      <c r="AC101" s="36">
        <v>22775</v>
      </c>
      <c r="AD101" s="36">
        <v>22273</v>
      </c>
      <c r="AE101" s="36">
        <v>6433</v>
      </c>
    </row>
    <row r="102" spans="1:31" x14ac:dyDescent="0.3">
      <c r="A102" s="37">
        <v>44347</v>
      </c>
      <c r="B102" s="28">
        <f t="shared" ref="B102:B109" si="12">C102+D102+T102+AE102</f>
        <v>358876</v>
      </c>
      <c r="C102" s="29">
        <v>14060</v>
      </c>
      <c r="D102" s="30">
        <f t="shared" si="11"/>
        <v>77096</v>
      </c>
      <c r="E102" s="34">
        <v>2033</v>
      </c>
      <c r="F102" s="34">
        <v>7548</v>
      </c>
      <c r="G102" s="34">
        <v>3402</v>
      </c>
      <c r="H102" s="34">
        <v>10983</v>
      </c>
      <c r="I102" s="34">
        <v>4830</v>
      </c>
      <c r="J102" s="34">
        <v>2126</v>
      </c>
      <c r="K102" s="34">
        <v>1368</v>
      </c>
      <c r="L102" s="34">
        <v>2528</v>
      </c>
      <c r="M102" s="34">
        <v>1991</v>
      </c>
      <c r="N102" s="34">
        <v>4765</v>
      </c>
      <c r="O102" s="34">
        <v>2948</v>
      </c>
      <c r="P102" s="34">
        <v>2638</v>
      </c>
      <c r="Q102" s="34">
        <v>4543</v>
      </c>
      <c r="R102" s="34">
        <v>1253</v>
      </c>
      <c r="S102" s="34">
        <v>24140</v>
      </c>
      <c r="T102" s="30">
        <f t="shared" si="10"/>
        <v>259991</v>
      </c>
      <c r="U102" s="34">
        <v>4532</v>
      </c>
      <c r="V102" s="34">
        <v>38386</v>
      </c>
      <c r="W102" s="34">
        <v>6788</v>
      </c>
      <c r="X102" s="34">
        <v>42691</v>
      </c>
      <c r="Y102" s="34">
        <v>4448</v>
      </c>
      <c r="Z102" s="34">
        <v>2702</v>
      </c>
      <c r="AA102" s="34">
        <v>107596</v>
      </c>
      <c r="AB102" s="34">
        <v>6660</v>
      </c>
      <c r="AC102" s="34">
        <v>23012</v>
      </c>
      <c r="AD102" s="34">
        <v>23176</v>
      </c>
      <c r="AE102" s="34">
        <v>7729</v>
      </c>
    </row>
    <row r="103" spans="1:31" x14ac:dyDescent="0.3">
      <c r="A103" s="37">
        <v>44377</v>
      </c>
      <c r="B103" s="28">
        <f t="shared" si="12"/>
        <v>356577</v>
      </c>
      <c r="C103" s="29">
        <v>13179</v>
      </c>
      <c r="D103" s="30">
        <f t="shared" si="11"/>
        <v>74925</v>
      </c>
      <c r="E103" s="34">
        <v>2031</v>
      </c>
      <c r="F103" s="34">
        <v>7540</v>
      </c>
      <c r="G103" s="34">
        <v>3343</v>
      </c>
      <c r="H103" s="34">
        <v>10571</v>
      </c>
      <c r="I103" s="34">
        <v>4697</v>
      </c>
      <c r="J103" s="34">
        <v>2131</v>
      </c>
      <c r="K103" s="34">
        <v>1400</v>
      </c>
      <c r="L103" s="34">
        <v>2499</v>
      </c>
      <c r="M103" s="34">
        <v>1966</v>
      </c>
      <c r="N103" s="34">
        <v>4570</v>
      </c>
      <c r="O103" s="34">
        <v>2945</v>
      </c>
      <c r="P103" s="34">
        <v>2663</v>
      </c>
      <c r="Q103" s="34">
        <v>4389</v>
      </c>
      <c r="R103" s="34">
        <v>1253</v>
      </c>
      <c r="S103" s="34">
        <v>22927</v>
      </c>
      <c r="T103" s="30">
        <f t="shared" si="10"/>
        <v>260181</v>
      </c>
      <c r="U103" s="34">
        <v>4546</v>
      </c>
      <c r="V103" s="34">
        <v>38633</v>
      </c>
      <c r="W103" s="34">
        <v>6944</v>
      </c>
      <c r="X103" s="34">
        <v>43667</v>
      </c>
      <c r="Y103" s="34">
        <v>4504</v>
      </c>
      <c r="Z103" s="34">
        <v>2675</v>
      </c>
      <c r="AA103" s="34">
        <v>106052</v>
      </c>
      <c r="AB103" s="34">
        <v>6716</v>
      </c>
      <c r="AC103" s="34">
        <v>23106</v>
      </c>
      <c r="AD103" s="34">
        <v>23338</v>
      </c>
      <c r="AE103" s="34">
        <v>8292</v>
      </c>
    </row>
    <row r="104" spans="1:31" x14ac:dyDescent="0.3">
      <c r="A104" s="37">
        <v>44408</v>
      </c>
      <c r="B104" s="28">
        <f t="shared" si="12"/>
        <v>355633</v>
      </c>
      <c r="C104" s="35">
        <v>13561</v>
      </c>
      <c r="D104" s="30">
        <f t="shared" si="11"/>
        <v>73654</v>
      </c>
      <c r="E104" s="36">
        <v>2066</v>
      </c>
      <c r="F104" s="36">
        <v>7555</v>
      </c>
      <c r="G104" s="36">
        <v>3332</v>
      </c>
      <c r="H104" s="36">
        <v>10391</v>
      </c>
      <c r="I104" s="36">
        <v>4601</v>
      </c>
      <c r="J104" s="36">
        <v>2158</v>
      </c>
      <c r="K104" s="36">
        <v>1444</v>
      </c>
      <c r="L104" s="36">
        <v>2477</v>
      </c>
      <c r="M104" s="36">
        <v>1955</v>
      </c>
      <c r="N104" s="36">
        <v>4433</v>
      </c>
      <c r="O104" s="36">
        <v>2898</v>
      </c>
      <c r="P104" s="36">
        <v>2681</v>
      </c>
      <c r="Q104" s="36">
        <v>4267</v>
      </c>
      <c r="R104" s="36">
        <v>1253</v>
      </c>
      <c r="S104" s="36">
        <v>22143</v>
      </c>
      <c r="T104" s="30">
        <f t="shared" si="10"/>
        <v>259882</v>
      </c>
      <c r="U104" s="36">
        <v>4541</v>
      </c>
      <c r="V104" s="36">
        <v>38715</v>
      </c>
      <c r="W104" s="36">
        <v>6917</v>
      </c>
      <c r="X104" s="36">
        <v>42137</v>
      </c>
      <c r="Y104" s="36">
        <v>4512</v>
      </c>
      <c r="Z104" s="36">
        <v>2712</v>
      </c>
      <c r="AA104" s="36">
        <v>105149</v>
      </c>
      <c r="AB104" s="36">
        <v>6768</v>
      </c>
      <c r="AC104" s="36">
        <v>24860</v>
      </c>
      <c r="AD104" s="36">
        <v>23571</v>
      </c>
      <c r="AE104" s="36">
        <v>8536</v>
      </c>
    </row>
    <row r="105" spans="1:31" x14ac:dyDescent="0.3">
      <c r="A105" s="37">
        <v>44439</v>
      </c>
      <c r="B105" s="28">
        <f t="shared" si="12"/>
        <v>355053</v>
      </c>
      <c r="C105" s="35">
        <v>13436</v>
      </c>
      <c r="D105" s="30">
        <f t="shared" si="11"/>
        <v>74402</v>
      </c>
      <c r="E105" s="36">
        <v>2038</v>
      </c>
      <c r="F105" s="36">
        <v>7524</v>
      </c>
      <c r="G105" s="36">
        <v>3411</v>
      </c>
      <c r="H105" s="36">
        <v>10922</v>
      </c>
      <c r="I105" s="36">
        <v>4650</v>
      </c>
      <c r="J105" s="36">
        <v>2197</v>
      </c>
      <c r="K105" s="36">
        <v>1466</v>
      </c>
      <c r="L105" s="36">
        <v>2508</v>
      </c>
      <c r="M105" s="36">
        <v>1988</v>
      </c>
      <c r="N105" s="36">
        <v>4393</v>
      </c>
      <c r="O105" s="36">
        <v>2979</v>
      </c>
      <c r="P105" s="36">
        <v>2734</v>
      </c>
      <c r="Q105" s="36">
        <v>4302</v>
      </c>
      <c r="R105" s="36">
        <v>1252</v>
      </c>
      <c r="S105" s="36">
        <v>22038</v>
      </c>
      <c r="T105" s="30">
        <f t="shared" si="10"/>
        <v>258390</v>
      </c>
      <c r="U105" s="36">
        <v>4507</v>
      </c>
      <c r="V105" s="36">
        <v>38432</v>
      </c>
      <c r="W105" s="36">
        <v>6780</v>
      </c>
      <c r="X105" s="36">
        <v>40642</v>
      </c>
      <c r="Y105" s="36">
        <v>4510</v>
      </c>
      <c r="Z105" s="36">
        <v>2720</v>
      </c>
      <c r="AA105" s="36">
        <v>103406</v>
      </c>
      <c r="AB105" s="36">
        <v>6949</v>
      </c>
      <c r="AC105" s="36">
        <v>26692</v>
      </c>
      <c r="AD105" s="36">
        <v>23752</v>
      </c>
      <c r="AE105" s="36">
        <v>8825</v>
      </c>
    </row>
    <row r="106" spans="1:31" x14ac:dyDescent="0.3">
      <c r="A106" s="37">
        <v>44469</v>
      </c>
      <c r="B106" s="28">
        <f t="shared" si="12"/>
        <v>352732</v>
      </c>
      <c r="C106" s="35">
        <v>13488</v>
      </c>
      <c r="D106" s="30">
        <f t="shared" si="11"/>
        <v>73279</v>
      </c>
      <c r="E106" s="36">
        <v>2098</v>
      </c>
      <c r="F106" s="36">
        <v>7497</v>
      </c>
      <c r="G106" s="36">
        <v>3428</v>
      </c>
      <c r="H106" s="36">
        <v>10476</v>
      </c>
      <c r="I106" s="36">
        <v>4641</v>
      </c>
      <c r="J106" s="36">
        <v>2185</v>
      </c>
      <c r="K106" s="36">
        <v>1433</v>
      </c>
      <c r="L106" s="36">
        <v>2462</v>
      </c>
      <c r="M106" s="36">
        <v>1913</v>
      </c>
      <c r="N106" s="36">
        <v>4219</v>
      </c>
      <c r="O106" s="36">
        <v>2906</v>
      </c>
      <c r="P106" s="36">
        <v>2638</v>
      </c>
      <c r="Q106" s="36">
        <v>4269</v>
      </c>
      <c r="R106" s="36">
        <v>1262</v>
      </c>
      <c r="S106" s="36">
        <v>21852</v>
      </c>
      <c r="T106" s="30">
        <f t="shared" si="10"/>
        <v>256607</v>
      </c>
      <c r="U106" s="36">
        <v>4424</v>
      </c>
      <c r="V106" s="36">
        <v>38692</v>
      </c>
      <c r="W106" s="36">
        <v>6840</v>
      </c>
      <c r="X106" s="36">
        <v>39360</v>
      </c>
      <c r="Y106" s="36">
        <v>4531</v>
      </c>
      <c r="Z106" s="36">
        <v>2759</v>
      </c>
      <c r="AA106" s="36">
        <v>101839</v>
      </c>
      <c r="AB106" s="36">
        <v>7198</v>
      </c>
      <c r="AC106" s="36">
        <v>26961</v>
      </c>
      <c r="AD106" s="36">
        <v>24003</v>
      </c>
      <c r="AE106" s="36">
        <v>9358</v>
      </c>
    </row>
    <row r="107" spans="1:31" x14ac:dyDescent="0.3">
      <c r="A107" s="37">
        <v>44499</v>
      </c>
      <c r="B107" s="28">
        <f t="shared" si="12"/>
        <v>344821</v>
      </c>
      <c r="C107" s="35">
        <v>13769</v>
      </c>
      <c r="D107" s="30">
        <f t="shared" si="11"/>
        <v>71420</v>
      </c>
      <c r="E107" s="36">
        <v>2003</v>
      </c>
      <c r="F107" s="36">
        <v>7474</v>
      </c>
      <c r="G107" s="36">
        <v>3264</v>
      </c>
      <c r="H107" s="36">
        <v>10013</v>
      </c>
      <c r="I107" s="36">
        <v>4745</v>
      </c>
      <c r="J107" s="36">
        <v>2174</v>
      </c>
      <c r="K107" s="36">
        <v>1379</v>
      </c>
      <c r="L107" s="36">
        <v>2380</v>
      </c>
      <c r="M107" s="36">
        <v>1868</v>
      </c>
      <c r="N107" s="36">
        <v>4072</v>
      </c>
      <c r="O107" s="36">
        <v>2811</v>
      </c>
      <c r="P107" s="36">
        <v>2594</v>
      </c>
      <c r="Q107" s="36">
        <v>4133</v>
      </c>
      <c r="R107" s="36">
        <v>1250</v>
      </c>
      <c r="S107" s="36">
        <v>21260</v>
      </c>
      <c r="T107" s="30">
        <f t="shared" si="10"/>
        <v>249989</v>
      </c>
      <c r="U107" s="36">
        <v>4293</v>
      </c>
      <c r="V107" s="36">
        <v>37764</v>
      </c>
      <c r="W107" s="36">
        <v>6701</v>
      </c>
      <c r="X107" s="36">
        <v>40557</v>
      </c>
      <c r="Y107" s="36">
        <v>4470</v>
      </c>
      <c r="Z107" s="36">
        <v>2702</v>
      </c>
      <c r="AA107" s="36">
        <v>98873</v>
      </c>
      <c r="AB107" s="36">
        <v>7065</v>
      </c>
      <c r="AC107" s="36">
        <v>23758</v>
      </c>
      <c r="AD107" s="36">
        <v>23806</v>
      </c>
      <c r="AE107" s="36">
        <v>9643</v>
      </c>
    </row>
    <row r="108" spans="1:31" x14ac:dyDescent="0.3">
      <c r="A108" s="37">
        <v>44530</v>
      </c>
      <c r="B108" s="28">
        <f t="shared" si="12"/>
        <v>339138</v>
      </c>
      <c r="C108" s="35">
        <v>14059</v>
      </c>
      <c r="D108" s="30">
        <f t="shared" si="11"/>
        <v>69364</v>
      </c>
      <c r="E108" s="36">
        <v>1908</v>
      </c>
      <c r="F108" s="36">
        <v>7348</v>
      </c>
      <c r="G108" s="36">
        <v>3179</v>
      </c>
      <c r="H108" s="36">
        <v>9620</v>
      </c>
      <c r="I108" s="36">
        <v>4559</v>
      </c>
      <c r="J108" s="36">
        <v>2122</v>
      </c>
      <c r="K108" s="36">
        <v>1313</v>
      </c>
      <c r="L108" s="36">
        <v>2245</v>
      </c>
      <c r="M108" s="36">
        <v>1813</v>
      </c>
      <c r="N108" s="36">
        <v>3900</v>
      </c>
      <c r="O108" s="36">
        <v>2668</v>
      </c>
      <c r="P108" s="36">
        <v>2462</v>
      </c>
      <c r="Q108" s="36">
        <v>4034</v>
      </c>
      <c r="R108" s="36">
        <v>1227</v>
      </c>
      <c r="S108" s="36">
        <v>20966</v>
      </c>
      <c r="T108" s="30">
        <f t="shared" si="10"/>
        <v>246104</v>
      </c>
      <c r="U108" s="36">
        <v>4147</v>
      </c>
      <c r="V108" s="36">
        <v>36429</v>
      </c>
      <c r="W108" s="36">
        <v>6628</v>
      </c>
      <c r="X108" s="36">
        <v>43793</v>
      </c>
      <c r="Y108" s="36">
        <v>4217</v>
      </c>
      <c r="Z108" s="36">
        <v>2600</v>
      </c>
      <c r="AA108" s="36">
        <v>96108</v>
      </c>
      <c r="AB108" s="36">
        <v>6755</v>
      </c>
      <c r="AC108" s="36">
        <v>21831</v>
      </c>
      <c r="AD108" s="36">
        <v>23596</v>
      </c>
      <c r="AE108" s="36">
        <v>9611</v>
      </c>
    </row>
    <row r="109" spans="1:31" x14ac:dyDescent="0.3">
      <c r="A109" s="37">
        <v>44561</v>
      </c>
      <c r="B109" s="28">
        <f t="shared" si="12"/>
        <v>343770</v>
      </c>
      <c r="C109" s="35">
        <v>15266</v>
      </c>
      <c r="D109" s="30">
        <f t="shared" si="11"/>
        <v>69527</v>
      </c>
      <c r="E109" s="36">
        <v>1852</v>
      </c>
      <c r="F109" s="36">
        <v>7331</v>
      </c>
      <c r="G109" s="36">
        <v>3069</v>
      </c>
      <c r="H109" s="36">
        <v>9391</v>
      </c>
      <c r="I109" s="36">
        <v>4455</v>
      </c>
      <c r="J109" s="36">
        <v>2105</v>
      </c>
      <c r="K109" s="36">
        <v>1320</v>
      </c>
      <c r="L109" s="36">
        <v>2280</v>
      </c>
      <c r="M109" s="36">
        <v>1823</v>
      </c>
      <c r="N109" s="36">
        <v>3974</v>
      </c>
      <c r="O109" s="36">
        <v>2629</v>
      </c>
      <c r="P109" s="36">
        <v>2408</v>
      </c>
      <c r="Q109" s="36">
        <v>4038</v>
      </c>
      <c r="R109" s="36">
        <v>1208</v>
      </c>
      <c r="S109" s="36">
        <v>21644</v>
      </c>
      <c r="T109" s="30">
        <f t="shared" si="10"/>
        <v>249340</v>
      </c>
      <c r="U109" s="36">
        <v>4130</v>
      </c>
      <c r="V109" s="36">
        <v>35768</v>
      </c>
      <c r="W109" s="36">
        <v>6738</v>
      </c>
      <c r="X109" s="36">
        <v>45690</v>
      </c>
      <c r="Y109" s="36">
        <v>4169</v>
      </c>
      <c r="Z109" s="36">
        <v>2561</v>
      </c>
      <c r="AA109" s="36">
        <v>98765</v>
      </c>
      <c r="AB109" s="36">
        <v>6694</v>
      </c>
      <c r="AC109" s="36">
        <v>21353</v>
      </c>
      <c r="AD109" s="36">
        <v>23472</v>
      </c>
      <c r="AE109" s="36">
        <v>9637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21BBF-0B68-4314-AE7A-6B0D47D61E60}">
  <dimension ref="A1:K109"/>
  <sheetViews>
    <sheetView zoomScale="90" zoomScaleNormal="90" workbookViewId="0"/>
  </sheetViews>
  <sheetFormatPr defaultRowHeight="14.4" x14ac:dyDescent="0.3"/>
  <cols>
    <col min="1" max="1" width="11.6640625" style="40" bestFit="1" customWidth="1"/>
    <col min="2" max="2" width="10.33203125" bestFit="1" customWidth="1"/>
    <col min="3" max="3" width="12.109375" bestFit="1" customWidth="1"/>
    <col min="4" max="4" width="6.5546875" bestFit="1" customWidth="1"/>
    <col min="5" max="5" width="6.77734375" bestFit="1" customWidth="1"/>
    <col min="6" max="6" width="12.77734375" bestFit="1" customWidth="1"/>
    <col min="7" max="7" width="8.21875" bestFit="1" customWidth="1"/>
    <col min="8" max="8" width="7.44140625" bestFit="1" customWidth="1"/>
    <col min="9" max="9" width="16.6640625" bestFit="1" customWidth="1"/>
    <col min="10" max="10" width="6.77734375" bestFit="1" customWidth="1"/>
    <col min="11" max="11" width="8.109375" bestFit="1" customWidth="1"/>
    <col min="12" max="12" width="17.109375" bestFit="1" customWidth="1"/>
    <col min="13" max="13" width="16.77734375" bestFit="1" customWidth="1"/>
  </cols>
  <sheetData>
    <row r="1" spans="1:11" x14ac:dyDescent="0.3">
      <c r="A1" s="52" t="s">
        <v>57</v>
      </c>
      <c r="B1" s="49" t="s">
        <v>0</v>
      </c>
      <c r="C1" s="49" t="s">
        <v>1</v>
      </c>
      <c r="D1" s="49" t="s">
        <v>2</v>
      </c>
      <c r="E1" s="49" t="s">
        <v>3</v>
      </c>
      <c r="F1" s="49" t="s">
        <v>4</v>
      </c>
      <c r="G1" s="49" t="s">
        <v>5</v>
      </c>
      <c r="H1" s="49" t="s">
        <v>6</v>
      </c>
      <c r="I1" s="49" t="s">
        <v>7</v>
      </c>
      <c r="J1" s="49" t="s">
        <v>8</v>
      </c>
      <c r="K1" s="49" t="s">
        <v>9</v>
      </c>
    </row>
    <row r="2" spans="1:11" x14ac:dyDescent="0.3">
      <c r="A2" s="53">
        <v>41305</v>
      </c>
      <c r="B2" s="7">
        <f t="shared" ref="B2:B33" si="0">C2+I2</f>
        <v>10804</v>
      </c>
      <c r="C2" s="7">
        <f t="shared" ref="C2:C33" si="1">SUM(D2:H2)</f>
        <v>10686</v>
      </c>
      <c r="D2" s="8">
        <v>5715</v>
      </c>
      <c r="E2" s="8">
        <v>1555</v>
      </c>
      <c r="F2" s="8">
        <v>2034</v>
      </c>
      <c r="G2" s="8">
        <v>1188</v>
      </c>
      <c r="H2" s="8">
        <v>194</v>
      </c>
      <c r="I2" s="7">
        <f t="shared" ref="I2:I33" si="2">SUM(J2:K2)</f>
        <v>118</v>
      </c>
      <c r="J2" s="8">
        <v>38</v>
      </c>
      <c r="K2" s="8">
        <v>80</v>
      </c>
    </row>
    <row r="3" spans="1:11" x14ac:dyDescent="0.3">
      <c r="A3" s="53">
        <v>41333</v>
      </c>
      <c r="B3" s="7">
        <f t="shared" si="0"/>
        <v>10930</v>
      </c>
      <c r="C3" s="7">
        <f t="shared" si="1"/>
        <v>10822</v>
      </c>
      <c r="D3" s="8">
        <v>5949</v>
      </c>
      <c r="E3" s="8">
        <v>1506</v>
      </c>
      <c r="F3" s="8">
        <v>1795</v>
      </c>
      <c r="G3" s="8">
        <v>1239</v>
      </c>
      <c r="H3" s="8">
        <v>333</v>
      </c>
      <c r="I3" s="7">
        <f t="shared" si="2"/>
        <v>108</v>
      </c>
      <c r="J3" s="8">
        <v>34</v>
      </c>
      <c r="K3" s="8">
        <v>74</v>
      </c>
    </row>
    <row r="4" spans="1:11" x14ac:dyDescent="0.3">
      <c r="A4" s="53">
        <v>41364</v>
      </c>
      <c r="B4" s="7">
        <f t="shared" si="0"/>
        <v>11789</v>
      </c>
      <c r="C4" s="7">
        <f t="shared" si="1"/>
        <v>11660</v>
      </c>
      <c r="D4" s="8">
        <v>6306</v>
      </c>
      <c r="E4" s="8">
        <v>1810</v>
      </c>
      <c r="F4" s="8">
        <v>2018</v>
      </c>
      <c r="G4" s="8">
        <v>1103</v>
      </c>
      <c r="H4" s="8">
        <v>423</v>
      </c>
      <c r="I4" s="7">
        <f t="shared" si="2"/>
        <v>129</v>
      </c>
      <c r="J4" s="8">
        <v>40</v>
      </c>
      <c r="K4" s="8">
        <v>89</v>
      </c>
    </row>
    <row r="5" spans="1:11" x14ac:dyDescent="0.3">
      <c r="A5" s="53">
        <v>41394</v>
      </c>
      <c r="B5" s="7">
        <f t="shared" si="0"/>
        <v>13281</v>
      </c>
      <c r="C5" s="7">
        <f t="shared" si="1"/>
        <v>13147</v>
      </c>
      <c r="D5" s="8">
        <v>6580</v>
      </c>
      <c r="E5" s="8">
        <v>2163</v>
      </c>
      <c r="F5" s="8">
        <v>2497</v>
      </c>
      <c r="G5" s="8">
        <v>1093</v>
      </c>
      <c r="H5" s="8">
        <v>814</v>
      </c>
      <c r="I5" s="7">
        <f t="shared" si="2"/>
        <v>134</v>
      </c>
      <c r="J5" s="8">
        <v>54</v>
      </c>
      <c r="K5" s="8">
        <v>80</v>
      </c>
    </row>
    <row r="6" spans="1:11" x14ac:dyDescent="0.3">
      <c r="A6" s="53">
        <v>41425</v>
      </c>
      <c r="B6" s="7">
        <f t="shared" si="0"/>
        <v>14369</v>
      </c>
      <c r="C6" s="7">
        <f t="shared" si="1"/>
        <v>14211</v>
      </c>
      <c r="D6" s="8">
        <v>6678</v>
      </c>
      <c r="E6" s="8">
        <v>2284</v>
      </c>
      <c r="F6" s="8">
        <v>2831</v>
      </c>
      <c r="G6" s="8">
        <v>1389</v>
      </c>
      <c r="H6" s="8">
        <v>1029</v>
      </c>
      <c r="I6" s="7">
        <f t="shared" si="2"/>
        <v>158</v>
      </c>
      <c r="J6" s="8">
        <v>40</v>
      </c>
      <c r="K6" s="8">
        <v>118</v>
      </c>
    </row>
    <row r="7" spans="1:11" x14ac:dyDescent="0.3">
      <c r="A7" s="53">
        <v>41455</v>
      </c>
      <c r="B7" s="7">
        <f t="shared" si="0"/>
        <v>16138</v>
      </c>
      <c r="C7" s="7">
        <f t="shared" si="1"/>
        <v>15934</v>
      </c>
      <c r="D7" s="8">
        <v>7516</v>
      </c>
      <c r="E7" s="8">
        <v>2449</v>
      </c>
      <c r="F7" s="8">
        <v>3281</v>
      </c>
      <c r="G7" s="8">
        <v>1666</v>
      </c>
      <c r="H7" s="8">
        <v>1022</v>
      </c>
      <c r="I7" s="7">
        <f t="shared" si="2"/>
        <v>204</v>
      </c>
      <c r="J7" s="8">
        <v>75</v>
      </c>
      <c r="K7" s="8">
        <v>129</v>
      </c>
    </row>
    <row r="8" spans="1:11" x14ac:dyDescent="0.3">
      <c r="A8" s="53">
        <v>41486</v>
      </c>
      <c r="B8" s="7">
        <f t="shared" si="0"/>
        <v>18452</v>
      </c>
      <c r="C8" s="7">
        <f t="shared" si="1"/>
        <v>18178</v>
      </c>
      <c r="D8" s="8">
        <v>8773</v>
      </c>
      <c r="E8" s="8">
        <v>2816</v>
      </c>
      <c r="F8" s="8">
        <v>3804</v>
      </c>
      <c r="G8" s="8">
        <v>1924</v>
      </c>
      <c r="H8" s="8">
        <v>861</v>
      </c>
      <c r="I8" s="7">
        <f t="shared" si="2"/>
        <v>274</v>
      </c>
      <c r="J8" s="8">
        <v>81</v>
      </c>
      <c r="K8" s="8">
        <v>193</v>
      </c>
    </row>
    <row r="9" spans="1:11" x14ac:dyDescent="0.3">
      <c r="A9" s="53">
        <v>41517</v>
      </c>
      <c r="B9" s="7">
        <f t="shared" si="0"/>
        <v>18239</v>
      </c>
      <c r="C9" s="7">
        <f t="shared" si="1"/>
        <v>17980</v>
      </c>
      <c r="D9" s="8">
        <v>9052</v>
      </c>
      <c r="E9" s="8">
        <v>3113</v>
      </c>
      <c r="F9" s="8">
        <v>3981</v>
      </c>
      <c r="G9" s="8">
        <v>1287</v>
      </c>
      <c r="H9" s="8">
        <v>547</v>
      </c>
      <c r="I9" s="7">
        <f t="shared" si="2"/>
        <v>259</v>
      </c>
      <c r="J9" s="8">
        <v>57</v>
      </c>
      <c r="K9" s="8">
        <v>202</v>
      </c>
    </row>
    <row r="10" spans="1:11" x14ac:dyDescent="0.3">
      <c r="A10" s="53">
        <v>41547</v>
      </c>
      <c r="B10" s="7">
        <f t="shared" si="0"/>
        <v>19645</v>
      </c>
      <c r="C10" s="7">
        <f t="shared" si="1"/>
        <v>19397</v>
      </c>
      <c r="D10" s="8">
        <v>10771</v>
      </c>
      <c r="E10" s="8">
        <v>3313</v>
      </c>
      <c r="F10" s="8">
        <v>3477</v>
      </c>
      <c r="G10" s="8">
        <v>1265</v>
      </c>
      <c r="H10" s="8">
        <v>571</v>
      </c>
      <c r="I10" s="7">
        <f t="shared" si="2"/>
        <v>248</v>
      </c>
      <c r="J10" s="8">
        <v>45</v>
      </c>
      <c r="K10" s="8">
        <v>203</v>
      </c>
    </row>
    <row r="11" spans="1:11" x14ac:dyDescent="0.3">
      <c r="A11" s="53">
        <v>41577</v>
      </c>
      <c r="B11" s="7">
        <f t="shared" si="0"/>
        <v>19566</v>
      </c>
      <c r="C11" s="7">
        <f t="shared" si="1"/>
        <v>19367</v>
      </c>
      <c r="D11" s="8">
        <v>11232</v>
      </c>
      <c r="E11" s="8">
        <v>3114</v>
      </c>
      <c r="F11" s="8">
        <v>3436</v>
      </c>
      <c r="G11" s="8">
        <v>815</v>
      </c>
      <c r="H11" s="8">
        <v>770</v>
      </c>
      <c r="I11" s="7">
        <f t="shared" si="2"/>
        <v>199</v>
      </c>
      <c r="J11" s="8">
        <v>45</v>
      </c>
      <c r="K11" s="8">
        <v>154</v>
      </c>
    </row>
    <row r="12" spans="1:11" x14ac:dyDescent="0.3">
      <c r="A12" s="53">
        <v>41608</v>
      </c>
      <c r="B12" s="7">
        <f t="shared" si="0"/>
        <v>17886</v>
      </c>
      <c r="C12" s="7">
        <f t="shared" si="1"/>
        <v>17650</v>
      </c>
      <c r="D12" s="8">
        <v>9693</v>
      </c>
      <c r="E12" s="8">
        <v>2879</v>
      </c>
      <c r="F12" s="8">
        <v>3413</v>
      </c>
      <c r="G12" s="8">
        <v>930</v>
      </c>
      <c r="H12" s="8">
        <v>735</v>
      </c>
      <c r="I12" s="7">
        <f t="shared" si="2"/>
        <v>236</v>
      </c>
      <c r="J12" s="8">
        <v>38</v>
      </c>
      <c r="K12" s="8">
        <v>198</v>
      </c>
    </row>
    <row r="13" spans="1:11" x14ac:dyDescent="0.3">
      <c r="A13" s="53">
        <v>41639</v>
      </c>
      <c r="B13" s="7">
        <f t="shared" si="0"/>
        <v>17387</v>
      </c>
      <c r="C13" s="7">
        <f t="shared" si="1"/>
        <v>17128</v>
      </c>
      <c r="D13" s="8">
        <v>9048</v>
      </c>
      <c r="E13" s="8">
        <v>3018</v>
      </c>
      <c r="F13" s="8">
        <v>3572</v>
      </c>
      <c r="G13" s="8">
        <v>879</v>
      </c>
      <c r="H13" s="8">
        <v>611</v>
      </c>
      <c r="I13" s="7">
        <f t="shared" si="2"/>
        <v>259</v>
      </c>
      <c r="J13" s="8">
        <v>30</v>
      </c>
      <c r="K13" s="8">
        <v>229</v>
      </c>
    </row>
    <row r="14" spans="1:11" x14ac:dyDescent="0.3">
      <c r="A14" s="53">
        <v>41670</v>
      </c>
      <c r="B14" s="7">
        <f t="shared" si="0"/>
        <v>17098</v>
      </c>
      <c r="C14" s="7">
        <f t="shared" si="1"/>
        <v>16877</v>
      </c>
      <c r="D14" s="8">
        <v>8648</v>
      </c>
      <c r="E14" s="8">
        <v>2999</v>
      </c>
      <c r="F14" s="8">
        <v>3674</v>
      </c>
      <c r="G14" s="8">
        <v>892</v>
      </c>
      <c r="H14" s="8">
        <v>664</v>
      </c>
      <c r="I14" s="7">
        <f t="shared" si="2"/>
        <v>221</v>
      </c>
      <c r="J14" s="8">
        <v>25</v>
      </c>
      <c r="K14" s="8">
        <v>196</v>
      </c>
    </row>
    <row r="15" spans="1:11" x14ac:dyDescent="0.3">
      <c r="A15" s="53">
        <v>41698</v>
      </c>
      <c r="B15" s="7">
        <f t="shared" si="0"/>
        <v>18795</v>
      </c>
      <c r="C15" s="7">
        <f t="shared" si="1"/>
        <v>18553</v>
      </c>
      <c r="D15" s="8">
        <v>9419</v>
      </c>
      <c r="E15" s="8">
        <v>3127</v>
      </c>
      <c r="F15" s="8">
        <v>3844</v>
      </c>
      <c r="G15" s="8">
        <v>1256</v>
      </c>
      <c r="H15" s="8">
        <v>907</v>
      </c>
      <c r="I15" s="7">
        <f t="shared" si="2"/>
        <v>242</v>
      </c>
      <c r="J15" s="8">
        <v>73</v>
      </c>
      <c r="K15" s="8">
        <v>169</v>
      </c>
    </row>
    <row r="16" spans="1:11" x14ac:dyDescent="0.3">
      <c r="A16" s="53">
        <v>41729</v>
      </c>
      <c r="B16" s="7">
        <f t="shared" si="0"/>
        <v>20324</v>
      </c>
      <c r="C16" s="7">
        <f t="shared" si="1"/>
        <v>20016</v>
      </c>
      <c r="D16" s="8">
        <v>9416</v>
      </c>
      <c r="E16" s="8">
        <v>3804</v>
      </c>
      <c r="F16" s="8">
        <v>4207</v>
      </c>
      <c r="G16" s="8">
        <v>1418</v>
      </c>
      <c r="H16" s="8">
        <v>1171</v>
      </c>
      <c r="I16" s="7">
        <f t="shared" si="2"/>
        <v>308</v>
      </c>
      <c r="J16" s="8">
        <v>89</v>
      </c>
      <c r="K16" s="8">
        <v>219</v>
      </c>
    </row>
    <row r="17" spans="1:11" x14ac:dyDescent="0.3">
      <c r="A17" s="53">
        <v>41759</v>
      </c>
      <c r="B17" s="7">
        <f t="shared" si="0"/>
        <v>20471</v>
      </c>
      <c r="C17" s="7">
        <f t="shared" si="1"/>
        <v>20159</v>
      </c>
      <c r="D17" s="8">
        <v>9176</v>
      </c>
      <c r="E17" s="8">
        <v>3786</v>
      </c>
      <c r="F17" s="8">
        <v>4456</v>
      </c>
      <c r="G17" s="8">
        <v>1349</v>
      </c>
      <c r="H17" s="8">
        <v>1392</v>
      </c>
      <c r="I17" s="7">
        <f t="shared" si="2"/>
        <v>312</v>
      </c>
      <c r="J17" s="8">
        <v>101</v>
      </c>
      <c r="K17" s="8">
        <v>211</v>
      </c>
    </row>
    <row r="18" spans="1:11" x14ac:dyDescent="0.3">
      <c r="A18" s="53">
        <v>41790</v>
      </c>
      <c r="B18" s="7">
        <f t="shared" si="0"/>
        <v>20992</v>
      </c>
      <c r="C18" s="7">
        <f t="shared" si="1"/>
        <v>20683</v>
      </c>
      <c r="D18" s="8">
        <v>9799</v>
      </c>
      <c r="E18" s="8">
        <v>3849</v>
      </c>
      <c r="F18" s="8">
        <v>4452</v>
      </c>
      <c r="G18" s="8">
        <v>1193</v>
      </c>
      <c r="H18" s="8">
        <v>1390</v>
      </c>
      <c r="I18" s="7">
        <f t="shared" si="2"/>
        <v>309</v>
      </c>
      <c r="J18" s="8">
        <v>122</v>
      </c>
      <c r="K18" s="8">
        <v>187</v>
      </c>
    </row>
    <row r="19" spans="1:11" x14ac:dyDescent="0.3">
      <c r="A19" s="53">
        <v>41820</v>
      </c>
      <c r="B19" s="7">
        <f t="shared" si="0"/>
        <v>22290</v>
      </c>
      <c r="C19" s="7">
        <f t="shared" si="1"/>
        <v>22029</v>
      </c>
      <c r="D19" s="8">
        <v>10408</v>
      </c>
      <c r="E19" s="8">
        <v>3944</v>
      </c>
      <c r="F19" s="8">
        <v>4801</v>
      </c>
      <c r="G19" s="8">
        <v>1438</v>
      </c>
      <c r="H19" s="8">
        <v>1438</v>
      </c>
      <c r="I19" s="7">
        <f t="shared" si="2"/>
        <v>261</v>
      </c>
      <c r="J19" s="8">
        <v>76</v>
      </c>
      <c r="K19" s="8">
        <v>185</v>
      </c>
    </row>
    <row r="20" spans="1:11" x14ac:dyDescent="0.3">
      <c r="A20" s="53">
        <v>41851</v>
      </c>
      <c r="B20" s="7">
        <f t="shared" si="0"/>
        <v>22233</v>
      </c>
      <c r="C20" s="7">
        <f t="shared" si="1"/>
        <v>22003</v>
      </c>
      <c r="D20" s="8">
        <v>10368</v>
      </c>
      <c r="E20" s="8">
        <v>4168</v>
      </c>
      <c r="F20" s="8">
        <v>5019</v>
      </c>
      <c r="G20" s="8">
        <v>1355</v>
      </c>
      <c r="H20" s="8">
        <v>1093</v>
      </c>
      <c r="I20" s="7">
        <f t="shared" si="2"/>
        <v>230</v>
      </c>
      <c r="J20" s="8">
        <v>60</v>
      </c>
      <c r="K20" s="8">
        <v>170</v>
      </c>
    </row>
    <row r="21" spans="1:11" x14ac:dyDescent="0.3">
      <c r="A21" s="53">
        <v>41882</v>
      </c>
      <c r="B21" s="7">
        <f t="shared" si="0"/>
        <v>22087</v>
      </c>
      <c r="C21" s="7">
        <f t="shared" si="1"/>
        <v>21876</v>
      </c>
      <c r="D21" s="8">
        <v>10407</v>
      </c>
      <c r="E21" s="8">
        <v>4199</v>
      </c>
      <c r="F21" s="8">
        <v>5128</v>
      </c>
      <c r="G21" s="8">
        <v>1243</v>
      </c>
      <c r="H21" s="8">
        <v>899</v>
      </c>
      <c r="I21" s="7">
        <f t="shared" si="2"/>
        <v>211</v>
      </c>
      <c r="J21" s="8">
        <v>49</v>
      </c>
      <c r="K21" s="8">
        <v>162</v>
      </c>
    </row>
    <row r="22" spans="1:11" x14ac:dyDescent="0.3">
      <c r="A22" s="53">
        <v>41912</v>
      </c>
      <c r="B22" s="7">
        <f t="shared" si="0"/>
        <v>23625</v>
      </c>
      <c r="C22" s="7">
        <f t="shared" si="1"/>
        <v>23383</v>
      </c>
      <c r="D22" s="8">
        <v>11793</v>
      </c>
      <c r="E22" s="8">
        <v>4387</v>
      </c>
      <c r="F22" s="8">
        <v>5242</v>
      </c>
      <c r="G22" s="8">
        <v>1184</v>
      </c>
      <c r="H22" s="8">
        <v>777</v>
      </c>
      <c r="I22" s="7">
        <f t="shared" si="2"/>
        <v>242</v>
      </c>
      <c r="J22" s="8">
        <v>47</v>
      </c>
      <c r="K22" s="8">
        <v>195</v>
      </c>
    </row>
    <row r="23" spans="1:11" x14ac:dyDescent="0.3">
      <c r="A23" s="53">
        <v>41942</v>
      </c>
      <c r="B23" s="7">
        <f t="shared" si="0"/>
        <v>21163</v>
      </c>
      <c r="C23" s="7">
        <f t="shared" si="1"/>
        <v>20924</v>
      </c>
      <c r="D23" s="8">
        <v>10000</v>
      </c>
      <c r="E23" s="8">
        <v>3965</v>
      </c>
      <c r="F23" s="8">
        <v>4852</v>
      </c>
      <c r="G23" s="8">
        <v>1419</v>
      </c>
      <c r="H23" s="8">
        <v>688</v>
      </c>
      <c r="I23" s="7">
        <f t="shared" si="2"/>
        <v>239</v>
      </c>
      <c r="J23" s="8">
        <v>26</v>
      </c>
      <c r="K23" s="8">
        <v>213</v>
      </c>
    </row>
    <row r="24" spans="1:11" x14ac:dyDescent="0.3">
      <c r="A24" s="53">
        <v>41973</v>
      </c>
      <c r="B24" s="7">
        <f t="shared" si="0"/>
        <v>20089</v>
      </c>
      <c r="C24" s="7">
        <f t="shared" si="1"/>
        <v>19819</v>
      </c>
      <c r="D24" s="8">
        <v>9788</v>
      </c>
      <c r="E24" s="8">
        <v>3732</v>
      </c>
      <c r="F24" s="8">
        <v>4399</v>
      </c>
      <c r="G24" s="8">
        <v>1234</v>
      </c>
      <c r="H24" s="8">
        <v>666</v>
      </c>
      <c r="I24" s="7">
        <f t="shared" si="2"/>
        <v>270</v>
      </c>
      <c r="J24" s="8">
        <v>48</v>
      </c>
      <c r="K24" s="8">
        <v>222</v>
      </c>
    </row>
    <row r="25" spans="1:11" x14ac:dyDescent="0.3">
      <c r="A25" s="53">
        <v>42004</v>
      </c>
      <c r="B25" s="7">
        <f t="shared" si="0"/>
        <v>19071</v>
      </c>
      <c r="C25" s="7">
        <f t="shared" si="1"/>
        <v>18801</v>
      </c>
      <c r="D25" s="8">
        <v>9205</v>
      </c>
      <c r="E25" s="8">
        <v>3492</v>
      </c>
      <c r="F25" s="8">
        <v>4282</v>
      </c>
      <c r="G25" s="8">
        <v>1164</v>
      </c>
      <c r="H25" s="8">
        <v>658</v>
      </c>
      <c r="I25" s="7">
        <f t="shared" si="2"/>
        <v>270</v>
      </c>
      <c r="J25" s="8">
        <v>48</v>
      </c>
      <c r="K25" s="8">
        <v>222</v>
      </c>
    </row>
    <row r="26" spans="1:11" x14ac:dyDescent="0.3">
      <c r="A26" s="53">
        <v>42035</v>
      </c>
      <c r="B26" s="50">
        <f t="shared" si="0"/>
        <v>18795</v>
      </c>
      <c r="C26" s="50">
        <f t="shared" si="1"/>
        <v>18553</v>
      </c>
      <c r="D26" s="9">
        <v>9419</v>
      </c>
      <c r="E26" s="9">
        <v>3127</v>
      </c>
      <c r="F26" s="9">
        <v>3844</v>
      </c>
      <c r="G26" s="9">
        <v>1256</v>
      </c>
      <c r="H26" s="9">
        <v>907</v>
      </c>
      <c r="I26" s="50">
        <f t="shared" si="2"/>
        <v>242</v>
      </c>
      <c r="J26" s="9">
        <v>73</v>
      </c>
      <c r="K26" s="9">
        <v>169</v>
      </c>
    </row>
    <row r="27" spans="1:11" x14ac:dyDescent="0.3">
      <c r="A27" s="53">
        <v>42063</v>
      </c>
      <c r="B27" s="50">
        <f t="shared" si="0"/>
        <v>17740</v>
      </c>
      <c r="C27" s="50">
        <f t="shared" si="1"/>
        <v>17437</v>
      </c>
      <c r="D27" s="9">
        <v>7774</v>
      </c>
      <c r="E27" s="9">
        <v>3391</v>
      </c>
      <c r="F27" s="9">
        <v>4442</v>
      </c>
      <c r="G27" s="9">
        <v>1185</v>
      </c>
      <c r="H27" s="9">
        <v>645</v>
      </c>
      <c r="I27" s="50">
        <f t="shared" si="2"/>
        <v>303</v>
      </c>
      <c r="J27" s="9">
        <v>58</v>
      </c>
      <c r="K27" s="9">
        <v>245</v>
      </c>
    </row>
    <row r="28" spans="1:11" x14ac:dyDescent="0.3">
      <c r="A28" s="53">
        <v>42094</v>
      </c>
      <c r="B28" s="50">
        <f t="shared" si="0"/>
        <v>19372</v>
      </c>
      <c r="C28" s="50">
        <f t="shared" si="1"/>
        <v>19038</v>
      </c>
      <c r="D28" s="9">
        <v>7646</v>
      </c>
      <c r="E28" s="9">
        <v>3427</v>
      </c>
      <c r="F28" s="9">
        <v>5005</v>
      </c>
      <c r="G28" s="9">
        <v>1458</v>
      </c>
      <c r="H28" s="9">
        <v>1502</v>
      </c>
      <c r="I28" s="50">
        <f t="shared" si="2"/>
        <v>334</v>
      </c>
      <c r="J28" s="9">
        <v>77</v>
      </c>
      <c r="K28" s="9">
        <v>257</v>
      </c>
    </row>
    <row r="29" spans="1:11" x14ac:dyDescent="0.3">
      <c r="A29" s="53">
        <v>42124</v>
      </c>
      <c r="B29" s="50">
        <f t="shared" si="0"/>
        <v>20849</v>
      </c>
      <c r="C29" s="50">
        <f t="shared" si="1"/>
        <v>20471</v>
      </c>
      <c r="D29" s="9">
        <v>8592</v>
      </c>
      <c r="E29" s="9">
        <v>3775</v>
      </c>
      <c r="F29" s="9">
        <v>5023</v>
      </c>
      <c r="G29" s="9">
        <v>1617</v>
      </c>
      <c r="H29" s="9">
        <v>1464</v>
      </c>
      <c r="I29" s="50">
        <f t="shared" si="2"/>
        <v>378</v>
      </c>
      <c r="J29" s="9">
        <v>92</v>
      </c>
      <c r="K29" s="9">
        <v>286</v>
      </c>
    </row>
    <row r="30" spans="1:11" x14ac:dyDescent="0.3">
      <c r="A30" s="53">
        <v>42155</v>
      </c>
      <c r="B30" s="50">
        <f t="shared" si="0"/>
        <v>21069</v>
      </c>
      <c r="C30" s="50">
        <f t="shared" si="1"/>
        <v>20665</v>
      </c>
      <c r="D30" s="9">
        <v>8401</v>
      </c>
      <c r="E30" s="9">
        <v>3878</v>
      </c>
      <c r="F30" s="9">
        <v>5362</v>
      </c>
      <c r="G30" s="9">
        <v>1496</v>
      </c>
      <c r="H30" s="9">
        <v>1528</v>
      </c>
      <c r="I30" s="50">
        <f t="shared" si="2"/>
        <v>404</v>
      </c>
      <c r="J30" s="9">
        <v>98</v>
      </c>
      <c r="K30" s="9">
        <v>306</v>
      </c>
    </row>
    <row r="31" spans="1:11" x14ac:dyDescent="0.3">
      <c r="A31" s="53">
        <v>42185</v>
      </c>
      <c r="B31" s="50">
        <f t="shared" si="0"/>
        <v>21216</v>
      </c>
      <c r="C31" s="50">
        <f t="shared" si="1"/>
        <v>20779</v>
      </c>
      <c r="D31" s="9">
        <v>8656</v>
      </c>
      <c r="E31" s="9">
        <v>3878</v>
      </c>
      <c r="F31" s="9">
        <v>5429</v>
      </c>
      <c r="G31" s="9">
        <v>1378</v>
      </c>
      <c r="H31" s="9">
        <v>1438</v>
      </c>
      <c r="I31" s="50">
        <f t="shared" si="2"/>
        <v>437</v>
      </c>
      <c r="J31" s="9">
        <v>104</v>
      </c>
      <c r="K31" s="9">
        <v>333</v>
      </c>
    </row>
    <row r="32" spans="1:11" x14ac:dyDescent="0.3">
      <c r="A32" s="53">
        <v>42216</v>
      </c>
      <c r="B32" s="50">
        <f t="shared" si="0"/>
        <v>20633</v>
      </c>
      <c r="C32" s="50">
        <f t="shared" si="1"/>
        <v>20199</v>
      </c>
      <c r="D32" s="9">
        <v>8392</v>
      </c>
      <c r="E32" s="9">
        <v>3947</v>
      </c>
      <c r="F32" s="9">
        <v>5535</v>
      </c>
      <c r="G32" s="9">
        <v>1381</v>
      </c>
      <c r="H32" s="9">
        <v>944</v>
      </c>
      <c r="I32" s="50">
        <f t="shared" si="2"/>
        <v>434</v>
      </c>
      <c r="J32" s="9">
        <v>61</v>
      </c>
      <c r="K32" s="9">
        <v>373</v>
      </c>
    </row>
    <row r="33" spans="1:11" x14ac:dyDescent="0.3">
      <c r="A33" s="53">
        <v>42247</v>
      </c>
      <c r="B33" s="50">
        <f t="shared" si="0"/>
        <v>20109</v>
      </c>
      <c r="C33" s="50">
        <f t="shared" si="1"/>
        <v>20070</v>
      </c>
      <c r="D33" s="9">
        <v>8089</v>
      </c>
      <c r="E33" s="9">
        <v>3842</v>
      </c>
      <c r="F33" s="9">
        <v>5539</v>
      </c>
      <c r="G33" s="9">
        <v>1375</v>
      </c>
      <c r="H33" s="9">
        <v>1225</v>
      </c>
      <c r="I33" s="50">
        <f t="shared" si="2"/>
        <v>39</v>
      </c>
      <c r="J33" s="9">
        <v>39</v>
      </c>
      <c r="K33" s="9">
        <v>0</v>
      </c>
    </row>
    <row r="34" spans="1:11" x14ac:dyDescent="0.3">
      <c r="A34" s="53">
        <v>42277</v>
      </c>
      <c r="B34" s="50">
        <f t="shared" ref="B34:B65" si="3">C34+I34</f>
        <v>20752</v>
      </c>
      <c r="C34" s="50">
        <f t="shared" ref="C34:C65" si="4">SUM(D34:H34)</f>
        <v>20339</v>
      </c>
      <c r="D34" s="9">
        <v>8322</v>
      </c>
      <c r="E34" s="9">
        <v>3999</v>
      </c>
      <c r="F34" s="9">
        <v>5437</v>
      </c>
      <c r="G34" s="9">
        <v>1444</v>
      </c>
      <c r="H34" s="9">
        <v>1137</v>
      </c>
      <c r="I34" s="50">
        <f t="shared" ref="I34:I65" si="5">SUM(J34:K34)</f>
        <v>413</v>
      </c>
      <c r="J34" s="9">
        <v>82</v>
      </c>
      <c r="K34" s="9">
        <v>331</v>
      </c>
    </row>
    <row r="35" spans="1:11" x14ac:dyDescent="0.3">
      <c r="A35" s="53">
        <v>42307</v>
      </c>
      <c r="B35" s="50">
        <f t="shared" si="3"/>
        <v>19580</v>
      </c>
      <c r="C35" s="50">
        <f t="shared" si="4"/>
        <v>19223</v>
      </c>
      <c r="D35" s="9">
        <v>7647</v>
      </c>
      <c r="E35" s="9">
        <v>3907</v>
      </c>
      <c r="F35" s="9">
        <v>4888</v>
      </c>
      <c r="G35" s="9">
        <v>1682</v>
      </c>
      <c r="H35" s="9">
        <v>1099</v>
      </c>
      <c r="I35" s="50">
        <f t="shared" si="5"/>
        <v>357</v>
      </c>
      <c r="J35" s="9">
        <v>76</v>
      </c>
      <c r="K35" s="9">
        <v>281</v>
      </c>
    </row>
    <row r="36" spans="1:11" x14ac:dyDescent="0.3">
      <c r="A36" s="53">
        <v>42338</v>
      </c>
      <c r="B36" s="50">
        <f t="shared" si="3"/>
        <v>18779</v>
      </c>
      <c r="C36" s="50">
        <f t="shared" si="4"/>
        <v>18482</v>
      </c>
      <c r="D36" s="9">
        <v>7150</v>
      </c>
      <c r="E36" s="9">
        <v>3564</v>
      </c>
      <c r="F36" s="9">
        <v>4783</v>
      </c>
      <c r="G36" s="9">
        <v>1824</v>
      </c>
      <c r="H36" s="9">
        <v>1161</v>
      </c>
      <c r="I36" s="50">
        <f t="shared" si="5"/>
        <v>297</v>
      </c>
      <c r="J36" s="9">
        <v>83</v>
      </c>
      <c r="K36" s="9">
        <v>214</v>
      </c>
    </row>
    <row r="37" spans="1:11" x14ac:dyDescent="0.3">
      <c r="A37" s="53">
        <v>42369</v>
      </c>
      <c r="B37" s="50">
        <f t="shared" si="3"/>
        <v>13942</v>
      </c>
      <c r="C37" s="50">
        <f t="shared" si="4"/>
        <v>13668</v>
      </c>
      <c r="D37" s="9">
        <v>4523</v>
      </c>
      <c r="E37" s="9">
        <v>3538</v>
      </c>
      <c r="F37" s="9">
        <v>3537</v>
      </c>
      <c r="G37" s="9">
        <v>1141</v>
      </c>
      <c r="H37" s="9">
        <v>929</v>
      </c>
      <c r="I37" s="50">
        <f t="shared" si="5"/>
        <v>274</v>
      </c>
      <c r="J37" s="9">
        <v>64</v>
      </c>
      <c r="K37" s="9">
        <v>210</v>
      </c>
    </row>
    <row r="38" spans="1:11" x14ac:dyDescent="0.3">
      <c r="A38" s="53">
        <v>42400</v>
      </c>
      <c r="B38" s="50">
        <f t="shared" si="3"/>
        <v>15484</v>
      </c>
      <c r="C38" s="50">
        <f t="shared" si="4"/>
        <v>15139</v>
      </c>
      <c r="D38" s="9">
        <v>5441</v>
      </c>
      <c r="E38" s="9">
        <v>3496</v>
      </c>
      <c r="F38" s="9">
        <v>4140</v>
      </c>
      <c r="G38" s="9">
        <v>1084</v>
      </c>
      <c r="H38" s="9">
        <v>978</v>
      </c>
      <c r="I38" s="50">
        <f t="shared" si="5"/>
        <v>345</v>
      </c>
      <c r="J38" s="9">
        <v>69</v>
      </c>
      <c r="K38" s="9">
        <v>276</v>
      </c>
    </row>
    <row r="39" spans="1:11" x14ac:dyDescent="0.3">
      <c r="A39" s="53">
        <v>42428</v>
      </c>
      <c r="B39" s="50">
        <f t="shared" si="3"/>
        <v>17744</v>
      </c>
      <c r="C39" s="50">
        <f t="shared" si="4"/>
        <v>17400</v>
      </c>
      <c r="D39" s="9">
        <v>6111</v>
      </c>
      <c r="E39" s="9">
        <v>3742</v>
      </c>
      <c r="F39" s="9">
        <v>4637</v>
      </c>
      <c r="G39" s="9">
        <v>1439</v>
      </c>
      <c r="H39" s="9">
        <v>1471</v>
      </c>
      <c r="I39" s="50">
        <f t="shared" si="5"/>
        <v>344</v>
      </c>
      <c r="J39" s="9">
        <v>100</v>
      </c>
      <c r="K39" s="9">
        <v>244</v>
      </c>
    </row>
    <row r="40" spans="1:11" x14ac:dyDescent="0.3">
      <c r="A40" s="53">
        <v>42460</v>
      </c>
      <c r="B40" s="50">
        <f t="shared" si="3"/>
        <v>19393</v>
      </c>
      <c r="C40" s="50">
        <f t="shared" si="4"/>
        <v>18952</v>
      </c>
      <c r="D40" s="9">
        <v>6316</v>
      </c>
      <c r="E40" s="9">
        <v>3844</v>
      </c>
      <c r="F40" s="9">
        <v>5369</v>
      </c>
      <c r="G40" s="9">
        <v>1668</v>
      </c>
      <c r="H40" s="9">
        <v>1755</v>
      </c>
      <c r="I40" s="50">
        <f t="shared" si="5"/>
        <v>441</v>
      </c>
      <c r="J40" s="9">
        <v>165</v>
      </c>
      <c r="K40" s="9">
        <v>276</v>
      </c>
    </row>
    <row r="41" spans="1:11" x14ac:dyDescent="0.3">
      <c r="A41" s="53">
        <v>42490</v>
      </c>
      <c r="B41" s="50">
        <f t="shared" si="3"/>
        <v>19944</v>
      </c>
      <c r="C41" s="50">
        <f t="shared" si="4"/>
        <v>19526</v>
      </c>
      <c r="D41" s="9">
        <v>6655</v>
      </c>
      <c r="E41" s="9">
        <v>4017</v>
      </c>
      <c r="F41" s="9">
        <v>5275</v>
      </c>
      <c r="G41" s="9">
        <v>1619</v>
      </c>
      <c r="H41" s="9">
        <v>1960</v>
      </c>
      <c r="I41" s="50">
        <f t="shared" si="5"/>
        <v>418</v>
      </c>
      <c r="J41" s="9">
        <v>183</v>
      </c>
      <c r="K41" s="9">
        <v>235</v>
      </c>
    </row>
    <row r="42" spans="1:11" x14ac:dyDescent="0.3">
      <c r="A42" s="53">
        <v>42521</v>
      </c>
      <c r="B42" s="50">
        <f t="shared" si="3"/>
        <v>20978</v>
      </c>
      <c r="C42" s="50">
        <f t="shared" si="4"/>
        <v>20439</v>
      </c>
      <c r="D42" s="9">
        <v>6639</v>
      </c>
      <c r="E42" s="9">
        <v>4272</v>
      </c>
      <c r="F42" s="9">
        <v>5839</v>
      </c>
      <c r="G42" s="9">
        <v>1618</v>
      </c>
      <c r="H42" s="9">
        <v>2071</v>
      </c>
      <c r="I42" s="50">
        <f t="shared" si="5"/>
        <v>539</v>
      </c>
      <c r="J42" s="9">
        <v>197</v>
      </c>
      <c r="K42" s="9">
        <v>342</v>
      </c>
    </row>
    <row r="43" spans="1:11" x14ac:dyDescent="0.3">
      <c r="A43" s="53">
        <v>42551</v>
      </c>
      <c r="B43" s="50">
        <f t="shared" si="3"/>
        <v>21984</v>
      </c>
      <c r="C43" s="50">
        <f t="shared" si="4"/>
        <v>21386</v>
      </c>
      <c r="D43" s="9">
        <v>7074</v>
      </c>
      <c r="E43" s="9">
        <v>4493</v>
      </c>
      <c r="F43" s="9">
        <v>6174</v>
      </c>
      <c r="G43" s="9">
        <v>1631</v>
      </c>
      <c r="H43" s="9">
        <v>2014</v>
      </c>
      <c r="I43" s="50">
        <f t="shared" si="5"/>
        <v>598</v>
      </c>
      <c r="J43" s="9">
        <v>225</v>
      </c>
      <c r="K43" s="9">
        <v>373</v>
      </c>
    </row>
    <row r="44" spans="1:11" x14ac:dyDescent="0.3">
      <c r="A44" s="53">
        <v>42582</v>
      </c>
      <c r="B44" s="50">
        <f t="shared" si="3"/>
        <v>20781</v>
      </c>
      <c r="C44" s="50">
        <f t="shared" si="4"/>
        <v>20352</v>
      </c>
      <c r="D44" s="9">
        <v>6597</v>
      </c>
      <c r="E44" s="9">
        <v>4360</v>
      </c>
      <c r="F44" s="9">
        <v>6270</v>
      </c>
      <c r="G44" s="9">
        <v>1577</v>
      </c>
      <c r="H44" s="9">
        <v>1548</v>
      </c>
      <c r="I44" s="50">
        <f t="shared" si="5"/>
        <v>429</v>
      </c>
      <c r="J44" s="9">
        <v>126</v>
      </c>
      <c r="K44" s="9">
        <v>303</v>
      </c>
    </row>
    <row r="45" spans="1:11" x14ac:dyDescent="0.3">
      <c r="A45" s="53">
        <v>42613</v>
      </c>
      <c r="B45" s="50">
        <f t="shared" si="3"/>
        <v>18873</v>
      </c>
      <c r="C45" s="50">
        <f t="shared" si="4"/>
        <v>18410</v>
      </c>
      <c r="D45" s="9">
        <v>6235</v>
      </c>
      <c r="E45" s="9">
        <v>4222</v>
      </c>
      <c r="F45" s="9">
        <v>5750</v>
      </c>
      <c r="G45" s="9">
        <v>1443</v>
      </c>
      <c r="H45" s="9">
        <v>760</v>
      </c>
      <c r="I45" s="50">
        <f t="shared" si="5"/>
        <v>463</v>
      </c>
      <c r="J45" s="9">
        <v>130</v>
      </c>
      <c r="K45" s="9">
        <v>333</v>
      </c>
    </row>
    <row r="46" spans="1:11" x14ac:dyDescent="0.3">
      <c r="A46" s="53">
        <v>42643</v>
      </c>
      <c r="B46" s="50">
        <f t="shared" si="3"/>
        <v>18219</v>
      </c>
      <c r="C46" s="50">
        <f t="shared" si="4"/>
        <v>17764</v>
      </c>
      <c r="D46" s="9">
        <v>6029</v>
      </c>
      <c r="E46" s="9">
        <v>4094</v>
      </c>
      <c r="F46" s="9">
        <v>5540</v>
      </c>
      <c r="G46" s="9">
        <v>1433</v>
      </c>
      <c r="H46" s="9">
        <v>668</v>
      </c>
      <c r="I46" s="50">
        <f t="shared" si="5"/>
        <v>455</v>
      </c>
      <c r="J46" s="9">
        <v>144</v>
      </c>
      <c r="K46" s="9">
        <v>311</v>
      </c>
    </row>
    <row r="47" spans="1:11" x14ac:dyDescent="0.3">
      <c r="A47" s="53">
        <v>42673</v>
      </c>
      <c r="B47" s="50">
        <f t="shared" si="3"/>
        <v>17242</v>
      </c>
      <c r="C47" s="50">
        <f t="shared" si="4"/>
        <v>16793</v>
      </c>
      <c r="D47" s="9">
        <v>5634</v>
      </c>
      <c r="E47" s="9">
        <v>3992</v>
      </c>
      <c r="F47" s="9">
        <v>5030</v>
      </c>
      <c r="G47" s="9">
        <v>1520</v>
      </c>
      <c r="H47" s="9">
        <v>617</v>
      </c>
      <c r="I47" s="50">
        <f t="shared" si="5"/>
        <v>449</v>
      </c>
      <c r="J47" s="9">
        <v>133</v>
      </c>
      <c r="K47" s="9">
        <v>316</v>
      </c>
    </row>
    <row r="48" spans="1:11" x14ac:dyDescent="0.3">
      <c r="A48" s="53">
        <v>42704</v>
      </c>
      <c r="B48" s="50">
        <f t="shared" si="3"/>
        <v>16031</v>
      </c>
      <c r="C48" s="50">
        <f t="shared" si="4"/>
        <v>15614</v>
      </c>
      <c r="D48" s="9">
        <v>5194</v>
      </c>
      <c r="E48" s="9">
        <v>3808</v>
      </c>
      <c r="F48" s="9">
        <v>4567</v>
      </c>
      <c r="G48" s="9">
        <v>1475</v>
      </c>
      <c r="H48" s="9">
        <v>570</v>
      </c>
      <c r="I48" s="50">
        <f t="shared" si="5"/>
        <v>417</v>
      </c>
      <c r="J48" s="9">
        <v>98</v>
      </c>
      <c r="K48" s="9">
        <v>319</v>
      </c>
    </row>
    <row r="49" spans="1:11" x14ac:dyDescent="0.3">
      <c r="A49" s="53">
        <v>42735</v>
      </c>
      <c r="B49" s="50">
        <f t="shared" si="3"/>
        <v>11605</v>
      </c>
      <c r="C49" s="50">
        <f t="shared" si="4"/>
        <v>11232</v>
      </c>
      <c r="D49" s="9">
        <v>3088</v>
      </c>
      <c r="E49" s="9">
        <v>3464</v>
      </c>
      <c r="F49" s="9">
        <v>3543</v>
      </c>
      <c r="G49" s="9">
        <v>637</v>
      </c>
      <c r="H49" s="9">
        <v>500</v>
      </c>
      <c r="I49" s="50">
        <f t="shared" si="5"/>
        <v>373</v>
      </c>
      <c r="J49" s="9">
        <v>93</v>
      </c>
      <c r="K49" s="9">
        <v>280</v>
      </c>
    </row>
    <row r="50" spans="1:11" x14ac:dyDescent="0.3">
      <c r="A50" s="54">
        <v>42766</v>
      </c>
      <c r="B50" s="50">
        <f t="shared" si="3"/>
        <v>13016</v>
      </c>
      <c r="C50" s="50">
        <f t="shared" si="4"/>
        <v>12603</v>
      </c>
      <c r="D50" s="10">
        <v>3648</v>
      </c>
      <c r="E50" s="10">
        <v>3556</v>
      </c>
      <c r="F50" s="10">
        <v>3846</v>
      </c>
      <c r="G50" s="10">
        <v>743</v>
      </c>
      <c r="H50" s="10">
        <v>810</v>
      </c>
      <c r="I50" s="50">
        <f t="shared" si="5"/>
        <v>413</v>
      </c>
      <c r="J50" s="10">
        <v>129</v>
      </c>
      <c r="K50" s="10">
        <v>284</v>
      </c>
    </row>
    <row r="51" spans="1:11" x14ac:dyDescent="0.3">
      <c r="A51" s="54">
        <v>42794</v>
      </c>
      <c r="B51" s="50">
        <f t="shared" si="3"/>
        <v>17833</v>
      </c>
      <c r="C51" s="50">
        <f t="shared" si="4"/>
        <v>17319</v>
      </c>
      <c r="D51" s="10">
        <v>5289</v>
      </c>
      <c r="E51" s="10">
        <v>4222</v>
      </c>
      <c r="F51" s="10">
        <v>5025</v>
      </c>
      <c r="G51" s="10">
        <v>1407</v>
      </c>
      <c r="H51" s="10">
        <v>1376</v>
      </c>
      <c r="I51" s="50">
        <f t="shared" si="5"/>
        <v>514</v>
      </c>
      <c r="J51" s="10">
        <v>125</v>
      </c>
      <c r="K51" s="10">
        <v>389</v>
      </c>
    </row>
    <row r="52" spans="1:11" x14ac:dyDescent="0.3">
      <c r="A52" s="54">
        <v>42825</v>
      </c>
      <c r="B52" s="50">
        <f t="shared" si="3"/>
        <v>19563</v>
      </c>
      <c r="C52" s="50">
        <f t="shared" si="4"/>
        <v>19010</v>
      </c>
      <c r="D52" s="10">
        <v>5776</v>
      </c>
      <c r="E52" s="10">
        <v>4549</v>
      </c>
      <c r="F52" s="10">
        <v>5090</v>
      </c>
      <c r="G52" s="10">
        <v>1754</v>
      </c>
      <c r="H52" s="10">
        <v>1841</v>
      </c>
      <c r="I52" s="50">
        <f t="shared" si="5"/>
        <v>553</v>
      </c>
      <c r="J52" s="10">
        <v>120</v>
      </c>
      <c r="K52" s="10">
        <v>433</v>
      </c>
    </row>
    <row r="53" spans="1:11" x14ac:dyDescent="0.3">
      <c r="A53" s="54">
        <v>42855</v>
      </c>
      <c r="B53" s="50">
        <f t="shared" si="3"/>
        <v>19995</v>
      </c>
      <c r="C53" s="50">
        <f t="shared" si="4"/>
        <v>19414</v>
      </c>
      <c r="D53" s="10">
        <v>5499</v>
      </c>
      <c r="E53" s="10">
        <v>4483</v>
      </c>
      <c r="F53" s="10">
        <v>5249</v>
      </c>
      <c r="G53" s="10">
        <v>2214</v>
      </c>
      <c r="H53" s="10">
        <v>1969</v>
      </c>
      <c r="I53" s="50">
        <f t="shared" si="5"/>
        <v>581</v>
      </c>
      <c r="J53" s="10">
        <v>132</v>
      </c>
      <c r="K53" s="10">
        <v>449</v>
      </c>
    </row>
    <row r="54" spans="1:11" x14ac:dyDescent="0.3">
      <c r="A54" s="54">
        <v>42886</v>
      </c>
      <c r="B54" s="50">
        <f t="shared" si="3"/>
        <v>24295</v>
      </c>
      <c r="C54" s="50">
        <f t="shared" si="4"/>
        <v>23658</v>
      </c>
      <c r="D54" s="10">
        <v>7061</v>
      </c>
      <c r="E54" s="10">
        <v>5186</v>
      </c>
      <c r="F54" s="10">
        <v>6525</v>
      </c>
      <c r="G54" s="10">
        <v>2692</v>
      </c>
      <c r="H54" s="10">
        <v>2194</v>
      </c>
      <c r="I54" s="50">
        <f t="shared" si="5"/>
        <v>637</v>
      </c>
      <c r="J54" s="10">
        <v>262</v>
      </c>
      <c r="K54" s="10">
        <v>375</v>
      </c>
    </row>
    <row r="55" spans="1:11" x14ac:dyDescent="0.3">
      <c r="A55" s="54">
        <v>42916</v>
      </c>
      <c r="B55" s="50">
        <f t="shared" si="3"/>
        <v>24663</v>
      </c>
      <c r="C55" s="50">
        <f t="shared" si="4"/>
        <v>23886</v>
      </c>
      <c r="D55" s="10">
        <v>7061</v>
      </c>
      <c r="E55" s="10">
        <v>5571</v>
      </c>
      <c r="F55" s="10">
        <v>6836</v>
      </c>
      <c r="G55" s="10">
        <v>2902</v>
      </c>
      <c r="H55" s="10">
        <v>1516</v>
      </c>
      <c r="I55" s="50">
        <f t="shared" si="5"/>
        <v>777</v>
      </c>
      <c r="J55" s="10">
        <v>258</v>
      </c>
      <c r="K55" s="10">
        <v>519</v>
      </c>
    </row>
    <row r="56" spans="1:11" x14ac:dyDescent="0.3">
      <c r="A56" s="54">
        <v>42947</v>
      </c>
      <c r="B56" s="50">
        <f t="shared" si="3"/>
        <v>24335</v>
      </c>
      <c r="C56" s="50">
        <f t="shared" si="4"/>
        <v>23562</v>
      </c>
      <c r="D56" s="10">
        <v>7009</v>
      </c>
      <c r="E56" s="10">
        <v>5605</v>
      </c>
      <c r="F56" s="10">
        <v>6669</v>
      </c>
      <c r="G56" s="10">
        <v>2923</v>
      </c>
      <c r="H56" s="10">
        <v>1356</v>
      </c>
      <c r="I56" s="50">
        <f t="shared" si="5"/>
        <v>773</v>
      </c>
      <c r="J56" s="10">
        <v>176</v>
      </c>
      <c r="K56" s="10">
        <v>597</v>
      </c>
    </row>
    <row r="57" spans="1:11" x14ac:dyDescent="0.3">
      <c r="A57" s="54">
        <v>42978</v>
      </c>
      <c r="B57" s="50">
        <f t="shared" si="3"/>
        <v>23191</v>
      </c>
      <c r="C57" s="50">
        <f t="shared" si="4"/>
        <v>22406</v>
      </c>
      <c r="D57" s="10">
        <v>6503</v>
      </c>
      <c r="E57" s="10">
        <v>5839</v>
      </c>
      <c r="F57" s="10">
        <v>6106</v>
      </c>
      <c r="G57" s="10">
        <v>2813</v>
      </c>
      <c r="H57" s="10">
        <v>1145</v>
      </c>
      <c r="I57" s="50">
        <f t="shared" si="5"/>
        <v>785</v>
      </c>
      <c r="J57" s="10">
        <v>99</v>
      </c>
      <c r="K57" s="10">
        <v>686</v>
      </c>
    </row>
    <row r="58" spans="1:11" x14ac:dyDescent="0.3">
      <c r="A58" s="54">
        <v>43008</v>
      </c>
      <c r="B58" s="50">
        <f t="shared" si="3"/>
        <v>22568</v>
      </c>
      <c r="C58" s="50">
        <f t="shared" si="4"/>
        <v>22046</v>
      </c>
      <c r="D58" s="10">
        <v>6275</v>
      </c>
      <c r="E58" s="10">
        <v>6068</v>
      </c>
      <c r="F58" s="10">
        <v>6095</v>
      </c>
      <c r="G58" s="10">
        <v>2385</v>
      </c>
      <c r="H58" s="10">
        <v>1223</v>
      </c>
      <c r="I58" s="50">
        <f t="shared" si="5"/>
        <v>522</v>
      </c>
      <c r="J58" s="10">
        <v>117</v>
      </c>
      <c r="K58" s="10">
        <v>405</v>
      </c>
    </row>
    <row r="59" spans="1:11" x14ac:dyDescent="0.3">
      <c r="A59" s="54">
        <v>43038</v>
      </c>
      <c r="B59" s="50">
        <f t="shared" si="3"/>
        <v>24469</v>
      </c>
      <c r="C59" s="50">
        <f t="shared" si="4"/>
        <v>23974</v>
      </c>
      <c r="D59" s="10">
        <v>6757</v>
      </c>
      <c r="E59" s="10">
        <v>6074</v>
      </c>
      <c r="F59" s="10">
        <v>6521</v>
      </c>
      <c r="G59" s="10">
        <v>2768</v>
      </c>
      <c r="H59" s="10">
        <v>1854</v>
      </c>
      <c r="I59" s="50">
        <f t="shared" si="5"/>
        <v>495</v>
      </c>
      <c r="J59" s="10">
        <v>97</v>
      </c>
      <c r="K59" s="10">
        <v>398</v>
      </c>
    </row>
    <row r="60" spans="1:11" x14ac:dyDescent="0.3">
      <c r="A60" s="54">
        <v>43069</v>
      </c>
      <c r="B60" s="50">
        <f t="shared" si="3"/>
        <v>20792</v>
      </c>
      <c r="C60" s="50">
        <f t="shared" si="4"/>
        <v>20311</v>
      </c>
      <c r="D60" s="10">
        <v>4400</v>
      </c>
      <c r="E60" s="10">
        <v>5693</v>
      </c>
      <c r="F60" s="10">
        <v>5824</v>
      </c>
      <c r="G60" s="10">
        <v>2933</v>
      </c>
      <c r="H60" s="10">
        <v>1461</v>
      </c>
      <c r="I60" s="50">
        <f t="shared" si="5"/>
        <v>481</v>
      </c>
      <c r="J60" s="10">
        <v>75</v>
      </c>
      <c r="K60" s="10">
        <v>406</v>
      </c>
    </row>
    <row r="61" spans="1:11" x14ac:dyDescent="0.3">
      <c r="A61" s="54">
        <v>43100</v>
      </c>
      <c r="B61" s="50">
        <f t="shared" si="3"/>
        <v>15819</v>
      </c>
      <c r="C61" s="50">
        <f t="shared" si="4"/>
        <v>15394</v>
      </c>
      <c r="D61" s="10">
        <v>2320</v>
      </c>
      <c r="E61" s="10">
        <v>4959</v>
      </c>
      <c r="F61" s="10">
        <v>4382</v>
      </c>
      <c r="G61" s="10">
        <v>2547</v>
      </c>
      <c r="H61" s="10">
        <v>1186</v>
      </c>
      <c r="I61" s="50">
        <f t="shared" si="5"/>
        <v>425</v>
      </c>
      <c r="J61" s="10">
        <v>64</v>
      </c>
      <c r="K61" s="10">
        <v>361</v>
      </c>
    </row>
    <row r="62" spans="1:11" x14ac:dyDescent="0.3">
      <c r="A62" s="54">
        <v>43131</v>
      </c>
      <c r="B62" s="7">
        <f t="shared" si="3"/>
        <v>16966</v>
      </c>
      <c r="C62" s="7">
        <f t="shared" si="4"/>
        <v>16490</v>
      </c>
      <c r="D62" s="11">
        <v>2611</v>
      </c>
      <c r="E62" s="11">
        <v>4956</v>
      </c>
      <c r="F62" s="11">
        <v>4727</v>
      </c>
      <c r="G62" s="11">
        <v>2839</v>
      </c>
      <c r="H62" s="11">
        <v>1357</v>
      </c>
      <c r="I62" s="7">
        <f t="shared" si="5"/>
        <v>476</v>
      </c>
      <c r="J62" s="11">
        <v>51</v>
      </c>
      <c r="K62" s="11">
        <v>425</v>
      </c>
    </row>
    <row r="63" spans="1:11" x14ac:dyDescent="0.3">
      <c r="A63" s="54">
        <v>43159</v>
      </c>
      <c r="B63" s="7">
        <f t="shared" si="3"/>
        <v>17485</v>
      </c>
      <c r="C63" s="7">
        <f t="shared" si="4"/>
        <v>17074</v>
      </c>
      <c r="D63" s="11">
        <v>2671</v>
      </c>
      <c r="E63" s="11">
        <v>5036</v>
      </c>
      <c r="F63" s="11">
        <v>5116</v>
      </c>
      <c r="G63" s="11">
        <v>2397</v>
      </c>
      <c r="H63" s="11">
        <v>1854</v>
      </c>
      <c r="I63" s="7">
        <f t="shared" si="5"/>
        <v>411</v>
      </c>
      <c r="J63" s="11">
        <v>70</v>
      </c>
      <c r="K63" s="11">
        <v>341</v>
      </c>
    </row>
    <row r="64" spans="1:11" x14ac:dyDescent="0.3">
      <c r="A64" s="54">
        <v>43190</v>
      </c>
      <c r="B64" s="7">
        <f t="shared" si="3"/>
        <v>19882</v>
      </c>
      <c r="C64" s="7">
        <f t="shared" si="4"/>
        <v>19488</v>
      </c>
      <c r="D64" s="12">
        <v>3391</v>
      </c>
      <c r="E64" s="12">
        <v>5647</v>
      </c>
      <c r="F64" s="12">
        <v>5771</v>
      </c>
      <c r="G64" s="12">
        <v>2630</v>
      </c>
      <c r="H64" s="12">
        <v>2049</v>
      </c>
      <c r="I64" s="7">
        <f t="shared" si="5"/>
        <v>394</v>
      </c>
      <c r="J64" s="12">
        <v>62</v>
      </c>
      <c r="K64" s="12">
        <v>332</v>
      </c>
    </row>
    <row r="65" spans="1:11" x14ac:dyDescent="0.3">
      <c r="A65" s="54">
        <v>43220</v>
      </c>
      <c r="B65" s="7">
        <f t="shared" si="3"/>
        <v>18623</v>
      </c>
      <c r="C65" s="7">
        <f t="shared" si="4"/>
        <v>18238</v>
      </c>
      <c r="D65" s="12">
        <v>2766</v>
      </c>
      <c r="E65" s="12">
        <v>5439</v>
      </c>
      <c r="F65" s="12">
        <v>5562</v>
      </c>
      <c r="G65" s="12">
        <v>2635</v>
      </c>
      <c r="H65" s="12">
        <v>1836</v>
      </c>
      <c r="I65" s="7">
        <f t="shared" si="5"/>
        <v>385</v>
      </c>
      <c r="J65" s="12">
        <v>84</v>
      </c>
      <c r="K65" s="12">
        <v>301</v>
      </c>
    </row>
    <row r="66" spans="1:11" x14ac:dyDescent="0.3">
      <c r="A66" s="54">
        <v>43251</v>
      </c>
      <c r="B66" s="7">
        <f t="shared" ref="B66:B97" si="6">C66+I66</f>
        <v>19241</v>
      </c>
      <c r="C66" s="7">
        <f t="shared" ref="C66:C97" si="7">SUM(D66:H66)</f>
        <v>18785</v>
      </c>
      <c r="D66" s="12">
        <v>2745</v>
      </c>
      <c r="E66" s="12">
        <v>5284</v>
      </c>
      <c r="F66" s="12">
        <v>5906</v>
      </c>
      <c r="G66" s="12">
        <v>3051</v>
      </c>
      <c r="H66" s="12">
        <v>1799</v>
      </c>
      <c r="I66" s="7">
        <f t="shared" ref="I66:I97" si="8">SUM(J66:K66)</f>
        <v>456</v>
      </c>
      <c r="J66" s="12">
        <v>107</v>
      </c>
      <c r="K66" s="12">
        <v>349</v>
      </c>
    </row>
    <row r="67" spans="1:11" x14ac:dyDescent="0.3">
      <c r="A67" s="54">
        <v>43281</v>
      </c>
      <c r="B67" s="7">
        <f t="shared" si="6"/>
        <v>21019</v>
      </c>
      <c r="C67" s="7">
        <f t="shared" si="7"/>
        <v>20509</v>
      </c>
      <c r="D67" s="12">
        <v>3154</v>
      </c>
      <c r="E67" s="12">
        <v>5926</v>
      </c>
      <c r="F67" s="12">
        <v>6781</v>
      </c>
      <c r="G67" s="12">
        <v>3074</v>
      </c>
      <c r="H67" s="12">
        <v>1574</v>
      </c>
      <c r="I67" s="7">
        <f t="shared" si="8"/>
        <v>510</v>
      </c>
      <c r="J67" s="12">
        <v>92</v>
      </c>
      <c r="K67" s="12">
        <v>418</v>
      </c>
    </row>
    <row r="68" spans="1:11" x14ac:dyDescent="0.3">
      <c r="A68" s="54">
        <v>43312</v>
      </c>
      <c r="B68" s="7">
        <f t="shared" si="6"/>
        <v>20006</v>
      </c>
      <c r="C68" s="7">
        <f t="shared" si="7"/>
        <v>19551</v>
      </c>
      <c r="D68" s="11">
        <v>2854</v>
      </c>
      <c r="E68" s="11">
        <v>5390</v>
      </c>
      <c r="F68" s="11">
        <v>7204</v>
      </c>
      <c r="G68" s="11">
        <v>2666</v>
      </c>
      <c r="H68" s="11">
        <v>1437</v>
      </c>
      <c r="I68" s="7">
        <f t="shared" si="8"/>
        <v>455</v>
      </c>
      <c r="J68" s="11">
        <v>70</v>
      </c>
      <c r="K68" s="11">
        <v>385</v>
      </c>
    </row>
    <row r="69" spans="1:11" x14ac:dyDescent="0.3">
      <c r="A69" s="54">
        <v>43343</v>
      </c>
      <c r="B69" s="7">
        <f t="shared" si="6"/>
        <v>19221</v>
      </c>
      <c r="C69" s="7">
        <f t="shared" si="7"/>
        <v>18777</v>
      </c>
      <c r="D69" s="11">
        <v>2759</v>
      </c>
      <c r="E69" s="11">
        <v>5737</v>
      </c>
      <c r="F69" s="11">
        <v>6535</v>
      </c>
      <c r="G69" s="11">
        <v>2590</v>
      </c>
      <c r="H69" s="11">
        <v>1156</v>
      </c>
      <c r="I69" s="7">
        <f t="shared" si="8"/>
        <v>444</v>
      </c>
      <c r="J69" s="11">
        <v>97</v>
      </c>
      <c r="K69" s="11">
        <v>347</v>
      </c>
    </row>
    <row r="70" spans="1:11" x14ac:dyDescent="0.3">
      <c r="A70" s="54">
        <v>43373</v>
      </c>
      <c r="B70" s="7">
        <f t="shared" si="6"/>
        <v>19335</v>
      </c>
      <c r="C70" s="7">
        <f t="shared" si="7"/>
        <v>18901</v>
      </c>
      <c r="D70" s="12">
        <v>3014</v>
      </c>
      <c r="E70" s="12">
        <v>5645</v>
      </c>
      <c r="F70" s="12">
        <v>6793</v>
      </c>
      <c r="G70" s="12">
        <v>2349</v>
      </c>
      <c r="H70" s="12">
        <v>1100</v>
      </c>
      <c r="I70" s="7">
        <f t="shared" si="8"/>
        <v>434</v>
      </c>
      <c r="J70" s="12">
        <v>83</v>
      </c>
      <c r="K70" s="12">
        <v>351</v>
      </c>
    </row>
    <row r="71" spans="1:11" x14ac:dyDescent="0.3">
      <c r="A71" s="54">
        <v>43403</v>
      </c>
      <c r="B71" s="7">
        <f t="shared" si="6"/>
        <v>20218</v>
      </c>
      <c r="C71" s="7">
        <f t="shared" si="7"/>
        <v>19785</v>
      </c>
      <c r="D71" s="12">
        <v>3162</v>
      </c>
      <c r="E71" s="12">
        <v>6083</v>
      </c>
      <c r="F71" s="12">
        <v>7238</v>
      </c>
      <c r="G71" s="12">
        <v>2299</v>
      </c>
      <c r="H71" s="12">
        <v>1003</v>
      </c>
      <c r="I71" s="7">
        <f t="shared" si="8"/>
        <v>433</v>
      </c>
      <c r="J71" s="12">
        <v>54</v>
      </c>
      <c r="K71" s="12">
        <v>379</v>
      </c>
    </row>
    <row r="72" spans="1:11" x14ac:dyDescent="0.3">
      <c r="A72" s="54">
        <v>43434</v>
      </c>
      <c r="B72" s="7">
        <f t="shared" si="6"/>
        <v>18231</v>
      </c>
      <c r="C72" s="7">
        <f t="shared" si="7"/>
        <v>17839</v>
      </c>
      <c r="D72" s="11">
        <v>2577</v>
      </c>
      <c r="E72" s="11">
        <v>5435</v>
      </c>
      <c r="F72" s="11">
        <v>6612</v>
      </c>
      <c r="G72" s="11">
        <v>2316</v>
      </c>
      <c r="H72" s="11">
        <v>899</v>
      </c>
      <c r="I72" s="7">
        <f t="shared" si="8"/>
        <v>392</v>
      </c>
      <c r="J72" s="11">
        <v>28</v>
      </c>
      <c r="K72" s="11">
        <v>364</v>
      </c>
    </row>
    <row r="73" spans="1:11" x14ac:dyDescent="0.3">
      <c r="A73" s="54">
        <v>43465</v>
      </c>
      <c r="B73" s="7">
        <f t="shared" si="6"/>
        <v>12316</v>
      </c>
      <c r="C73" s="7">
        <f t="shared" si="7"/>
        <v>12049</v>
      </c>
      <c r="D73" s="11">
        <v>854</v>
      </c>
      <c r="E73" s="11">
        <v>4506</v>
      </c>
      <c r="F73" s="11">
        <v>4623</v>
      </c>
      <c r="G73" s="11">
        <v>1263</v>
      </c>
      <c r="H73" s="11">
        <v>803</v>
      </c>
      <c r="I73" s="7">
        <f t="shared" si="8"/>
        <v>267</v>
      </c>
      <c r="J73" s="11">
        <v>26</v>
      </c>
      <c r="K73" s="11">
        <v>241</v>
      </c>
    </row>
    <row r="74" spans="1:11" x14ac:dyDescent="0.3">
      <c r="A74" s="54">
        <v>43496</v>
      </c>
      <c r="B74" s="7">
        <f t="shared" si="6"/>
        <v>14293</v>
      </c>
      <c r="C74" s="7">
        <f t="shared" si="7"/>
        <v>13971</v>
      </c>
      <c r="D74" s="11">
        <v>1659</v>
      </c>
      <c r="E74" s="11">
        <v>4727</v>
      </c>
      <c r="F74" s="11">
        <v>4981</v>
      </c>
      <c r="G74" s="11">
        <v>1488</v>
      </c>
      <c r="H74" s="11">
        <v>1116</v>
      </c>
      <c r="I74" s="7">
        <f t="shared" si="8"/>
        <v>322</v>
      </c>
      <c r="J74" s="11">
        <v>22</v>
      </c>
      <c r="K74" s="11">
        <v>300</v>
      </c>
    </row>
    <row r="75" spans="1:11" x14ac:dyDescent="0.3">
      <c r="A75" s="54">
        <v>43524</v>
      </c>
      <c r="B75" s="7">
        <f t="shared" si="6"/>
        <v>15753</v>
      </c>
      <c r="C75" s="7">
        <f t="shared" si="7"/>
        <v>15414</v>
      </c>
      <c r="D75" s="11">
        <v>2047</v>
      </c>
      <c r="E75" s="11">
        <v>4722</v>
      </c>
      <c r="F75" s="11">
        <v>5237</v>
      </c>
      <c r="G75" s="11">
        <v>1929</v>
      </c>
      <c r="H75" s="11">
        <v>1479</v>
      </c>
      <c r="I75" s="7">
        <f t="shared" si="8"/>
        <v>339</v>
      </c>
      <c r="J75" s="11">
        <v>35</v>
      </c>
      <c r="K75" s="11">
        <v>304</v>
      </c>
    </row>
    <row r="76" spans="1:11" x14ac:dyDescent="0.3">
      <c r="A76" s="54">
        <v>43555</v>
      </c>
      <c r="B76" s="7">
        <f t="shared" si="6"/>
        <v>16644</v>
      </c>
      <c r="C76" s="7">
        <f t="shared" si="7"/>
        <v>16330</v>
      </c>
      <c r="D76" s="12">
        <v>2205</v>
      </c>
      <c r="E76" s="12">
        <v>4707</v>
      </c>
      <c r="F76" s="12">
        <v>5732</v>
      </c>
      <c r="G76" s="12">
        <v>2306</v>
      </c>
      <c r="H76" s="12">
        <v>1380</v>
      </c>
      <c r="I76" s="7">
        <f t="shared" si="8"/>
        <v>314</v>
      </c>
      <c r="J76" s="12">
        <v>19</v>
      </c>
      <c r="K76" s="12">
        <v>295</v>
      </c>
    </row>
    <row r="77" spans="1:11" x14ac:dyDescent="0.3">
      <c r="A77" s="54">
        <v>43585</v>
      </c>
      <c r="B77" s="7">
        <f t="shared" si="6"/>
        <v>17400</v>
      </c>
      <c r="C77" s="7">
        <f t="shared" si="7"/>
        <v>17049</v>
      </c>
      <c r="D77" s="12">
        <v>2503</v>
      </c>
      <c r="E77" s="12">
        <v>4908</v>
      </c>
      <c r="F77" s="12">
        <v>5940</v>
      </c>
      <c r="G77" s="12">
        <v>2330</v>
      </c>
      <c r="H77" s="12">
        <v>1368</v>
      </c>
      <c r="I77" s="7">
        <f t="shared" si="8"/>
        <v>351</v>
      </c>
      <c r="J77" s="12">
        <v>39</v>
      </c>
      <c r="K77" s="12">
        <v>312</v>
      </c>
    </row>
    <row r="78" spans="1:11" x14ac:dyDescent="0.3">
      <c r="A78" s="54">
        <v>43616</v>
      </c>
      <c r="B78" s="7">
        <f t="shared" si="6"/>
        <v>18830</v>
      </c>
      <c r="C78" s="7">
        <f t="shared" si="7"/>
        <v>18434</v>
      </c>
      <c r="D78" s="11">
        <v>3068</v>
      </c>
      <c r="E78" s="11">
        <v>5581</v>
      </c>
      <c r="F78" s="11">
        <v>6261</v>
      </c>
      <c r="G78" s="11">
        <v>2463</v>
      </c>
      <c r="H78" s="11">
        <v>1061</v>
      </c>
      <c r="I78" s="7">
        <f t="shared" si="8"/>
        <v>396</v>
      </c>
      <c r="J78" s="11">
        <v>28</v>
      </c>
      <c r="K78" s="11">
        <v>368</v>
      </c>
    </row>
    <row r="79" spans="1:11" x14ac:dyDescent="0.3">
      <c r="A79" s="54">
        <v>43646</v>
      </c>
      <c r="B79" s="7">
        <f t="shared" si="6"/>
        <v>19334</v>
      </c>
      <c r="C79" s="7">
        <f t="shared" si="7"/>
        <v>18939</v>
      </c>
      <c r="D79" s="11">
        <v>3168</v>
      </c>
      <c r="E79" s="11">
        <v>5403</v>
      </c>
      <c r="F79" s="11">
        <v>7141</v>
      </c>
      <c r="G79" s="11">
        <v>2328</v>
      </c>
      <c r="H79" s="11">
        <v>899</v>
      </c>
      <c r="I79" s="7">
        <f t="shared" si="8"/>
        <v>395</v>
      </c>
      <c r="J79" s="11">
        <v>38</v>
      </c>
      <c r="K79" s="11">
        <v>357</v>
      </c>
    </row>
    <row r="80" spans="1:11" x14ac:dyDescent="0.3">
      <c r="A80" s="54">
        <v>43677</v>
      </c>
      <c r="B80" s="7">
        <f t="shared" si="6"/>
        <v>19294</v>
      </c>
      <c r="C80" s="7">
        <f t="shared" si="7"/>
        <v>18887</v>
      </c>
      <c r="D80" s="11">
        <v>3387</v>
      </c>
      <c r="E80" s="11">
        <v>5105</v>
      </c>
      <c r="F80" s="11">
        <v>7343</v>
      </c>
      <c r="G80" s="11">
        <v>2447</v>
      </c>
      <c r="H80" s="11">
        <v>605</v>
      </c>
      <c r="I80" s="7">
        <f t="shared" si="8"/>
        <v>407</v>
      </c>
      <c r="J80" s="11">
        <v>30</v>
      </c>
      <c r="K80" s="11">
        <v>377</v>
      </c>
    </row>
    <row r="81" spans="1:11" x14ac:dyDescent="0.3">
      <c r="A81" s="54">
        <v>43708</v>
      </c>
      <c r="B81" s="7">
        <f t="shared" si="6"/>
        <v>18973</v>
      </c>
      <c r="C81" s="7">
        <f t="shared" si="7"/>
        <v>18579</v>
      </c>
      <c r="D81" s="11">
        <v>3305</v>
      </c>
      <c r="E81" s="11">
        <v>5215</v>
      </c>
      <c r="F81" s="11">
        <v>7055</v>
      </c>
      <c r="G81" s="11">
        <v>2494</v>
      </c>
      <c r="H81" s="11">
        <v>510</v>
      </c>
      <c r="I81" s="7">
        <f t="shared" si="8"/>
        <v>394</v>
      </c>
      <c r="J81" s="11">
        <v>33</v>
      </c>
      <c r="K81" s="11">
        <v>361</v>
      </c>
    </row>
    <row r="82" spans="1:11" x14ac:dyDescent="0.3">
      <c r="A82" s="54">
        <v>43738</v>
      </c>
      <c r="B82" s="7">
        <f t="shared" si="6"/>
        <v>18926</v>
      </c>
      <c r="C82" s="7">
        <f t="shared" si="7"/>
        <v>18534</v>
      </c>
      <c r="D82" s="12">
        <v>3333</v>
      </c>
      <c r="E82" s="12">
        <v>5193</v>
      </c>
      <c r="F82" s="12">
        <v>7142</v>
      </c>
      <c r="G82" s="12">
        <v>2383</v>
      </c>
      <c r="H82" s="12">
        <v>483</v>
      </c>
      <c r="I82" s="7">
        <f t="shared" si="8"/>
        <v>392</v>
      </c>
      <c r="J82" s="12">
        <v>23</v>
      </c>
      <c r="K82" s="12">
        <v>369</v>
      </c>
    </row>
    <row r="83" spans="1:11" x14ac:dyDescent="0.3">
      <c r="A83" s="54">
        <v>43768</v>
      </c>
      <c r="B83" s="7">
        <f t="shared" si="6"/>
        <v>17896</v>
      </c>
      <c r="C83" s="7">
        <f t="shared" si="7"/>
        <v>17514</v>
      </c>
      <c r="D83" s="12">
        <v>3356</v>
      </c>
      <c r="E83" s="12">
        <v>4611</v>
      </c>
      <c r="F83" s="12">
        <v>6754</v>
      </c>
      <c r="G83" s="12">
        <v>2400</v>
      </c>
      <c r="H83" s="12">
        <v>393</v>
      </c>
      <c r="I83" s="7">
        <f t="shared" si="8"/>
        <v>382</v>
      </c>
      <c r="J83" s="12">
        <v>21</v>
      </c>
      <c r="K83" s="12">
        <v>361</v>
      </c>
    </row>
    <row r="84" spans="1:11" x14ac:dyDescent="0.3">
      <c r="A84" s="54">
        <v>43799</v>
      </c>
      <c r="B84" s="7">
        <f t="shared" si="6"/>
        <v>16605</v>
      </c>
      <c r="C84" s="7">
        <f t="shared" si="7"/>
        <v>16225</v>
      </c>
      <c r="D84" s="8">
        <v>3019</v>
      </c>
      <c r="E84" s="8">
        <v>4277</v>
      </c>
      <c r="F84" s="8">
        <v>6361</v>
      </c>
      <c r="G84" s="8">
        <v>2204</v>
      </c>
      <c r="H84" s="8">
        <v>364</v>
      </c>
      <c r="I84" s="7">
        <f t="shared" si="8"/>
        <v>380</v>
      </c>
      <c r="J84" s="8">
        <v>23</v>
      </c>
      <c r="K84" s="8">
        <v>357</v>
      </c>
    </row>
    <row r="85" spans="1:11" x14ac:dyDescent="0.3">
      <c r="A85" s="54">
        <v>43830</v>
      </c>
      <c r="B85" s="7">
        <f t="shared" si="6"/>
        <v>11503</v>
      </c>
      <c r="C85" s="7">
        <f t="shared" si="7"/>
        <v>11194</v>
      </c>
      <c r="D85" s="8">
        <v>1301</v>
      </c>
      <c r="E85" s="8">
        <v>3132</v>
      </c>
      <c r="F85" s="8">
        <v>5033</v>
      </c>
      <c r="G85" s="8">
        <v>1457</v>
      </c>
      <c r="H85" s="8">
        <v>271</v>
      </c>
      <c r="I85" s="7">
        <f t="shared" si="8"/>
        <v>309</v>
      </c>
      <c r="J85" s="8">
        <v>31</v>
      </c>
      <c r="K85" s="8">
        <v>278</v>
      </c>
    </row>
    <row r="86" spans="1:11" x14ac:dyDescent="0.3">
      <c r="A86" s="54">
        <v>43861</v>
      </c>
      <c r="B86" s="50">
        <f t="shared" si="6"/>
        <v>12669</v>
      </c>
      <c r="C86" s="50">
        <f t="shared" si="7"/>
        <v>12312</v>
      </c>
      <c r="D86" s="9">
        <v>2032</v>
      </c>
      <c r="E86" s="9">
        <v>3293</v>
      </c>
      <c r="F86" s="9">
        <v>4726</v>
      </c>
      <c r="G86" s="9">
        <v>1727</v>
      </c>
      <c r="H86" s="9">
        <v>534</v>
      </c>
      <c r="I86" s="50">
        <f t="shared" si="8"/>
        <v>357</v>
      </c>
      <c r="J86" s="9">
        <v>18</v>
      </c>
      <c r="K86" s="9">
        <v>339</v>
      </c>
    </row>
    <row r="87" spans="1:11" x14ac:dyDescent="0.3">
      <c r="A87" s="54">
        <v>43889</v>
      </c>
      <c r="B87" s="50">
        <f t="shared" si="6"/>
        <v>13819</v>
      </c>
      <c r="C87" s="50">
        <f t="shared" si="7"/>
        <v>13483</v>
      </c>
      <c r="D87" s="9">
        <v>2438</v>
      </c>
      <c r="E87" s="9">
        <v>3408</v>
      </c>
      <c r="F87" s="9">
        <v>5052</v>
      </c>
      <c r="G87" s="9">
        <v>1779</v>
      </c>
      <c r="H87" s="9">
        <v>806</v>
      </c>
      <c r="I87" s="50">
        <f t="shared" si="8"/>
        <v>336</v>
      </c>
      <c r="J87" s="9">
        <v>29</v>
      </c>
      <c r="K87" s="9">
        <v>307</v>
      </c>
    </row>
    <row r="88" spans="1:11" x14ac:dyDescent="0.3">
      <c r="A88" s="54">
        <v>43921</v>
      </c>
      <c r="B88" s="50">
        <f t="shared" si="6"/>
        <v>12305</v>
      </c>
      <c r="C88" s="50">
        <f t="shared" si="7"/>
        <v>12000</v>
      </c>
      <c r="D88" s="51">
        <v>2123</v>
      </c>
      <c r="E88" s="51">
        <v>3128</v>
      </c>
      <c r="F88" s="51">
        <v>4459</v>
      </c>
      <c r="G88" s="51">
        <v>1727</v>
      </c>
      <c r="H88" s="51">
        <v>563</v>
      </c>
      <c r="I88" s="50">
        <f t="shared" si="8"/>
        <v>305</v>
      </c>
      <c r="J88" s="51">
        <v>57</v>
      </c>
      <c r="K88" s="51">
        <v>248</v>
      </c>
    </row>
    <row r="89" spans="1:11" x14ac:dyDescent="0.3">
      <c r="A89" s="54">
        <v>43951</v>
      </c>
      <c r="B89" s="50">
        <f t="shared" si="6"/>
        <v>10940</v>
      </c>
      <c r="C89" s="50">
        <f t="shared" si="7"/>
        <v>10668</v>
      </c>
      <c r="D89" s="51">
        <v>1836</v>
      </c>
      <c r="E89" s="51">
        <v>2932</v>
      </c>
      <c r="F89" s="51">
        <v>4044</v>
      </c>
      <c r="G89" s="51">
        <v>1605</v>
      </c>
      <c r="H89" s="51">
        <v>251</v>
      </c>
      <c r="I89" s="50">
        <f t="shared" si="8"/>
        <v>272</v>
      </c>
      <c r="J89" s="51">
        <v>33</v>
      </c>
      <c r="K89" s="51">
        <v>239</v>
      </c>
    </row>
    <row r="90" spans="1:11" x14ac:dyDescent="0.3">
      <c r="A90" s="54">
        <v>43982</v>
      </c>
      <c r="B90" s="50">
        <f t="shared" si="6"/>
        <v>11462</v>
      </c>
      <c r="C90" s="50">
        <f t="shared" si="7"/>
        <v>11235</v>
      </c>
      <c r="D90" s="10">
        <v>2162</v>
      </c>
      <c r="E90" s="10">
        <v>3008</v>
      </c>
      <c r="F90" s="10">
        <v>3985</v>
      </c>
      <c r="G90" s="10">
        <v>1801</v>
      </c>
      <c r="H90" s="10">
        <v>279</v>
      </c>
      <c r="I90" s="50">
        <f t="shared" si="8"/>
        <v>227</v>
      </c>
      <c r="J90" s="10">
        <v>12</v>
      </c>
      <c r="K90" s="10">
        <v>215</v>
      </c>
    </row>
    <row r="91" spans="1:11" x14ac:dyDescent="0.3">
      <c r="A91" s="54">
        <v>44012</v>
      </c>
      <c r="B91" s="50">
        <f t="shared" si="6"/>
        <v>11934</v>
      </c>
      <c r="C91" s="50">
        <f t="shared" si="7"/>
        <v>11679</v>
      </c>
      <c r="D91" s="10">
        <v>2418</v>
      </c>
      <c r="E91" s="10">
        <v>3109</v>
      </c>
      <c r="F91" s="10">
        <v>3932</v>
      </c>
      <c r="G91" s="10">
        <v>1855</v>
      </c>
      <c r="H91" s="10">
        <v>365</v>
      </c>
      <c r="I91" s="50">
        <f t="shared" si="8"/>
        <v>255</v>
      </c>
      <c r="J91" s="10">
        <v>21</v>
      </c>
      <c r="K91" s="10">
        <v>234</v>
      </c>
    </row>
    <row r="92" spans="1:11" x14ac:dyDescent="0.3">
      <c r="A92" s="54">
        <v>44043</v>
      </c>
      <c r="B92" s="50">
        <f t="shared" si="6"/>
        <v>12705</v>
      </c>
      <c r="C92" s="50">
        <f t="shared" si="7"/>
        <v>12418</v>
      </c>
      <c r="D92" s="51">
        <v>2595</v>
      </c>
      <c r="E92" s="51">
        <v>3326</v>
      </c>
      <c r="F92" s="51">
        <v>4083</v>
      </c>
      <c r="G92" s="51">
        <v>2047</v>
      </c>
      <c r="H92" s="51">
        <v>367</v>
      </c>
      <c r="I92" s="50">
        <f t="shared" si="8"/>
        <v>287</v>
      </c>
      <c r="J92" s="51">
        <v>21</v>
      </c>
      <c r="K92" s="51">
        <v>266</v>
      </c>
    </row>
    <row r="93" spans="1:11" x14ac:dyDescent="0.3">
      <c r="A93" s="54">
        <v>44074</v>
      </c>
      <c r="B93" s="50">
        <f t="shared" si="6"/>
        <v>13576</v>
      </c>
      <c r="C93" s="50">
        <f t="shared" si="7"/>
        <v>13335</v>
      </c>
      <c r="D93" s="51">
        <v>2675</v>
      </c>
      <c r="E93" s="51">
        <v>3818</v>
      </c>
      <c r="F93" s="51">
        <v>4323</v>
      </c>
      <c r="G93" s="51">
        <v>2135</v>
      </c>
      <c r="H93" s="51">
        <v>384</v>
      </c>
      <c r="I93" s="50">
        <f t="shared" si="8"/>
        <v>241</v>
      </c>
      <c r="J93" s="51">
        <v>24</v>
      </c>
      <c r="K93" s="51">
        <v>217</v>
      </c>
    </row>
    <row r="94" spans="1:11" x14ac:dyDescent="0.3">
      <c r="A94" s="54">
        <v>44104</v>
      </c>
      <c r="B94" s="50">
        <f t="shared" si="6"/>
        <v>14398</v>
      </c>
      <c r="C94" s="50">
        <f t="shared" si="7"/>
        <v>14163</v>
      </c>
      <c r="D94" s="51">
        <v>3092</v>
      </c>
      <c r="E94" s="51">
        <v>4254</v>
      </c>
      <c r="F94" s="51">
        <v>4494</v>
      </c>
      <c r="G94" s="51">
        <v>2055</v>
      </c>
      <c r="H94" s="51">
        <v>268</v>
      </c>
      <c r="I94" s="50">
        <f t="shared" si="8"/>
        <v>235</v>
      </c>
      <c r="J94" s="51">
        <v>20</v>
      </c>
      <c r="K94" s="51">
        <v>215</v>
      </c>
    </row>
    <row r="95" spans="1:11" x14ac:dyDescent="0.3">
      <c r="A95" s="54">
        <v>44134</v>
      </c>
      <c r="B95" s="50">
        <f t="shared" si="6"/>
        <v>15294</v>
      </c>
      <c r="C95" s="50">
        <f t="shared" si="7"/>
        <v>15043</v>
      </c>
      <c r="D95" s="51">
        <v>3372</v>
      </c>
      <c r="E95" s="51">
        <v>4238</v>
      </c>
      <c r="F95" s="51">
        <v>5243</v>
      </c>
      <c r="G95" s="51">
        <v>1931</v>
      </c>
      <c r="H95" s="51">
        <v>259</v>
      </c>
      <c r="I95" s="50">
        <f t="shared" si="8"/>
        <v>251</v>
      </c>
      <c r="J95" s="51">
        <v>15</v>
      </c>
      <c r="K95" s="51">
        <v>236</v>
      </c>
    </row>
    <row r="96" spans="1:11" x14ac:dyDescent="0.3">
      <c r="A96" s="54">
        <v>44165</v>
      </c>
      <c r="B96" s="50">
        <f t="shared" si="6"/>
        <v>13868</v>
      </c>
      <c r="C96" s="50">
        <f t="shared" si="7"/>
        <v>13627</v>
      </c>
      <c r="D96" s="51">
        <v>3038</v>
      </c>
      <c r="E96" s="51">
        <v>3855</v>
      </c>
      <c r="F96" s="51">
        <v>4897</v>
      </c>
      <c r="G96" s="51">
        <v>1601</v>
      </c>
      <c r="H96" s="51">
        <v>236</v>
      </c>
      <c r="I96" s="50">
        <f t="shared" si="8"/>
        <v>241</v>
      </c>
      <c r="J96" s="51">
        <v>12</v>
      </c>
      <c r="K96" s="51">
        <v>229</v>
      </c>
    </row>
    <row r="97" spans="1:11" x14ac:dyDescent="0.3">
      <c r="A97" s="54">
        <v>44196</v>
      </c>
      <c r="B97" s="50">
        <f t="shared" si="6"/>
        <v>10862</v>
      </c>
      <c r="C97" s="50">
        <f t="shared" si="7"/>
        <v>10655</v>
      </c>
      <c r="D97" s="51">
        <v>1391</v>
      </c>
      <c r="E97" s="51">
        <v>3083</v>
      </c>
      <c r="F97" s="51">
        <v>4607</v>
      </c>
      <c r="G97" s="51">
        <v>1337</v>
      </c>
      <c r="H97" s="51">
        <v>237</v>
      </c>
      <c r="I97" s="50">
        <f t="shared" si="8"/>
        <v>207</v>
      </c>
      <c r="J97" s="51">
        <v>15</v>
      </c>
      <c r="K97" s="51">
        <v>192</v>
      </c>
    </row>
    <row r="98" spans="1:11" x14ac:dyDescent="0.3">
      <c r="A98" s="54">
        <v>44227</v>
      </c>
      <c r="B98" s="7">
        <f t="shared" ref="B98:B109" si="9">C98+I98</f>
        <v>10735</v>
      </c>
      <c r="C98" s="7">
        <f t="shared" ref="C98:C109" si="10">SUM(D98:H98)</f>
        <v>10460</v>
      </c>
      <c r="D98" s="11">
        <v>1912</v>
      </c>
      <c r="E98" s="11">
        <v>2832</v>
      </c>
      <c r="F98" s="11">
        <v>4001</v>
      </c>
      <c r="G98" s="11">
        <v>1496</v>
      </c>
      <c r="H98" s="11">
        <v>219</v>
      </c>
      <c r="I98" s="7">
        <f t="shared" ref="I98:I109" si="11">SUM(J98:K98)</f>
        <v>275</v>
      </c>
      <c r="J98" s="11">
        <v>18</v>
      </c>
      <c r="K98" s="11">
        <v>257</v>
      </c>
    </row>
    <row r="99" spans="1:11" x14ac:dyDescent="0.3">
      <c r="A99" s="54">
        <v>44255</v>
      </c>
      <c r="B99" s="7">
        <f t="shared" si="9"/>
        <v>11714</v>
      </c>
      <c r="C99" s="7">
        <f t="shared" si="10"/>
        <v>11453</v>
      </c>
      <c r="D99" s="11">
        <v>2475</v>
      </c>
      <c r="E99" s="11">
        <v>3058</v>
      </c>
      <c r="F99" s="11">
        <v>4143</v>
      </c>
      <c r="G99" s="11">
        <v>1511</v>
      </c>
      <c r="H99" s="11">
        <v>266</v>
      </c>
      <c r="I99" s="7">
        <f t="shared" si="11"/>
        <v>261</v>
      </c>
      <c r="J99" s="11">
        <v>11</v>
      </c>
      <c r="K99" s="11">
        <v>250</v>
      </c>
    </row>
    <row r="100" spans="1:11" x14ac:dyDescent="0.3">
      <c r="A100" s="54">
        <v>44286</v>
      </c>
      <c r="B100" s="7">
        <f t="shared" si="9"/>
        <v>14371</v>
      </c>
      <c r="C100" s="7">
        <f t="shared" si="10"/>
        <v>14045</v>
      </c>
      <c r="D100" s="11">
        <v>3220</v>
      </c>
      <c r="E100" s="11">
        <v>3960</v>
      </c>
      <c r="F100" s="11">
        <v>4649</v>
      </c>
      <c r="G100" s="11">
        <v>1819</v>
      </c>
      <c r="H100" s="11">
        <v>397</v>
      </c>
      <c r="I100" s="7">
        <f t="shared" si="11"/>
        <v>326</v>
      </c>
      <c r="J100" s="11">
        <v>32</v>
      </c>
      <c r="K100" s="11">
        <v>294</v>
      </c>
    </row>
    <row r="101" spans="1:11" x14ac:dyDescent="0.3">
      <c r="A101" s="54">
        <v>44316</v>
      </c>
      <c r="B101" s="7">
        <f t="shared" si="9"/>
        <v>16872</v>
      </c>
      <c r="C101" s="7">
        <f t="shared" si="10"/>
        <v>16544</v>
      </c>
      <c r="D101" s="11">
        <v>4021</v>
      </c>
      <c r="E101" s="11">
        <v>4458</v>
      </c>
      <c r="F101" s="11">
        <v>5461</v>
      </c>
      <c r="G101" s="11">
        <v>1967</v>
      </c>
      <c r="H101" s="11">
        <v>637</v>
      </c>
      <c r="I101" s="7">
        <f t="shared" si="11"/>
        <v>328</v>
      </c>
      <c r="J101" s="11">
        <v>38</v>
      </c>
      <c r="K101" s="11">
        <v>290</v>
      </c>
    </row>
    <row r="102" spans="1:11" x14ac:dyDescent="0.3">
      <c r="A102" s="54">
        <v>44347</v>
      </c>
      <c r="B102" s="7">
        <f t="shared" si="9"/>
        <v>21013</v>
      </c>
      <c r="C102" s="7">
        <f t="shared" si="10"/>
        <v>20609</v>
      </c>
      <c r="D102" s="12">
        <v>4604</v>
      </c>
      <c r="E102" s="12">
        <v>5201</v>
      </c>
      <c r="F102" s="12">
        <v>6866</v>
      </c>
      <c r="G102" s="12">
        <v>2883</v>
      </c>
      <c r="H102" s="12">
        <v>1055</v>
      </c>
      <c r="I102" s="7">
        <f t="shared" si="11"/>
        <v>404</v>
      </c>
      <c r="J102" s="12">
        <v>40</v>
      </c>
      <c r="K102" s="12">
        <v>364</v>
      </c>
    </row>
    <row r="103" spans="1:11" x14ac:dyDescent="0.3">
      <c r="A103" s="54">
        <v>44377</v>
      </c>
      <c r="B103" s="7">
        <f t="shared" si="9"/>
        <v>24081</v>
      </c>
      <c r="C103" s="7">
        <f t="shared" si="10"/>
        <v>23580</v>
      </c>
      <c r="D103" s="12">
        <v>5038</v>
      </c>
      <c r="E103" s="12">
        <v>5996</v>
      </c>
      <c r="F103" s="12">
        <v>7893</v>
      </c>
      <c r="G103" s="12">
        <v>3429</v>
      </c>
      <c r="H103" s="12">
        <v>1224</v>
      </c>
      <c r="I103" s="7">
        <f t="shared" si="11"/>
        <v>501</v>
      </c>
      <c r="J103" s="12">
        <v>55</v>
      </c>
      <c r="K103" s="12">
        <v>446</v>
      </c>
    </row>
    <row r="104" spans="1:11" x14ac:dyDescent="0.3">
      <c r="A104" s="54">
        <v>44408</v>
      </c>
      <c r="B104" s="7">
        <f t="shared" si="9"/>
        <v>23236</v>
      </c>
      <c r="C104" s="7">
        <f t="shared" si="10"/>
        <v>22668</v>
      </c>
      <c r="D104" s="11">
        <v>4824</v>
      </c>
      <c r="E104" s="11">
        <v>5819</v>
      </c>
      <c r="F104" s="11">
        <v>7434</v>
      </c>
      <c r="G104" s="11">
        <v>3565</v>
      </c>
      <c r="H104" s="11">
        <v>1026</v>
      </c>
      <c r="I104" s="7">
        <f t="shared" si="11"/>
        <v>568</v>
      </c>
      <c r="J104" s="11">
        <v>30</v>
      </c>
      <c r="K104" s="11">
        <v>538</v>
      </c>
    </row>
    <row r="105" spans="1:11" x14ac:dyDescent="0.3">
      <c r="A105" s="54">
        <v>44439</v>
      </c>
      <c r="B105" s="7">
        <f t="shared" si="9"/>
        <v>24159</v>
      </c>
      <c r="C105" s="7">
        <f t="shared" si="10"/>
        <v>23560</v>
      </c>
      <c r="D105" s="11">
        <v>5027</v>
      </c>
      <c r="E105" s="11">
        <v>5860</v>
      </c>
      <c r="F105" s="11">
        <v>8269</v>
      </c>
      <c r="G105" s="11">
        <v>3405</v>
      </c>
      <c r="H105" s="11">
        <v>999</v>
      </c>
      <c r="I105" s="7">
        <f t="shared" si="11"/>
        <v>599</v>
      </c>
      <c r="J105" s="11">
        <v>35</v>
      </c>
      <c r="K105" s="11">
        <v>564</v>
      </c>
    </row>
    <row r="106" spans="1:11" x14ac:dyDescent="0.3">
      <c r="A106" s="54">
        <v>44469</v>
      </c>
      <c r="B106" s="7">
        <f t="shared" si="9"/>
        <v>23800</v>
      </c>
      <c r="C106" s="7">
        <f t="shared" si="10"/>
        <v>22981</v>
      </c>
      <c r="D106" s="12">
        <v>5547</v>
      </c>
      <c r="E106" s="12">
        <v>5948</v>
      </c>
      <c r="F106" s="12">
        <v>8251</v>
      </c>
      <c r="G106" s="12">
        <v>2356</v>
      </c>
      <c r="H106" s="12">
        <v>879</v>
      </c>
      <c r="I106" s="7">
        <f t="shared" si="11"/>
        <v>819</v>
      </c>
      <c r="J106" s="12">
        <v>52</v>
      </c>
      <c r="K106" s="12">
        <v>767</v>
      </c>
    </row>
    <row r="107" spans="1:11" x14ac:dyDescent="0.3">
      <c r="A107" s="54">
        <v>44499</v>
      </c>
      <c r="B107" s="7">
        <f t="shared" si="9"/>
        <v>23606</v>
      </c>
      <c r="C107" s="7">
        <f t="shared" si="10"/>
        <v>22939</v>
      </c>
      <c r="D107" s="12">
        <v>5746</v>
      </c>
      <c r="E107" s="12">
        <v>5683</v>
      </c>
      <c r="F107" s="12">
        <v>8270</v>
      </c>
      <c r="G107" s="12">
        <v>2265</v>
      </c>
      <c r="H107" s="12">
        <v>975</v>
      </c>
      <c r="I107" s="7">
        <f t="shared" si="11"/>
        <v>667</v>
      </c>
      <c r="J107" s="12">
        <v>59</v>
      </c>
      <c r="K107" s="12">
        <v>608</v>
      </c>
    </row>
    <row r="108" spans="1:11" x14ac:dyDescent="0.3">
      <c r="A108" s="54">
        <v>44530</v>
      </c>
      <c r="B108" s="7">
        <f t="shared" si="9"/>
        <v>21826</v>
      </c>
      <c r="C108" s="7">
        <f t="shared" si="10"/>
        <v>21200</v>
      </c>
      <c r="D108" s="12">
        <v>5029</v>
      </c>
      <c r="E108" s="12">
        <v>5229</v>
      </c>
      <c r="F108" s="12">
        <v>8111</v>
      </c>
      <c r="G108" s="12">
        <v>1973</v>
      </c>
      <c r="H108" s="12">
        <v>858</v>
      </c>
      <c r="I108" s="7">
        <f t="shared" si="11"/>
        <v>626</v>
      </c>
      <c r="J108" s="12">
        <v>66</v>
      </c>
      <c r="K108" s="12">
        <v>560</v>
      </c>
    </row>
    <row r="109" spans="1:11" x14ac:dyDescent="0.3">
      <c r="A109" s="54">
        <v>44561</v>
      </c>
      <c r="B109" s="7">
        <f t="shared" si="9"/>
        <v>15941</v>
      </c>
      <c r="C109" s="7">
        <f t="shared" si="10"/>
        <v>15336</v>
      </c>
      <c r="D109" s="12">
        <v>2604</v>
      </c>
      <c r="E109" s="12">
        <v>4325</v>
      </c>
      <c r="F109" s="12">
        <v>6291</v>
      </c>
      <c r="G109" s="12">
        <v>1401</v>
      </c>
      <c r="H109" s="12">
        <v>715</v>
      </c>
      <c r="I109" s="7">
        <f t="shared" si="11"/>
        <v>605</v>
      </c>
      <c r="J109" s="12">
        <v>48</v>
      </c>
      <c r="K109" s="12">
        <v>557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DF79D-7BA3-4DF0-9E73-7E7CEC29299A}">
  <dimension ref="A1:AE109"/>
  <sheetViews>
    <sheetView tabSelected="1" zoomScale="70" zoomScaleNormal="70" workbookViewId="0"/>
  </sheetViews>
  <sheetFormatPr defaultRowHeight="14.4" x14ac:dyDescent="0.3"/>
  <cols>
    <col min="1" max="1" width="11.5546875" style="43" bestFit="1" customWidth="1"/>
    <col min="2" max="2" width="15.5546875" style="2" bestFit="1" customWidth="1"/>
    <col min="3" max="3" width="16.6640625" style="2" bestFit="1" customWidth="1"/>
    <col min="4" max="4" width="14.33203125" style="2" bestFit="1" customWidth="1"/>
    <col min="5" max="5" width="12.77734375" style="2" bestFit="1" customWidth="1"/>
    <col min="6" max="6" width="12.5546875" style="2" bestFit="1" customWidth="1"/>
    <col min="7" max="7" width="12.77734375" style="2" bestFit="1" customWidth="1"/>
    <col min="8" max="8" width="12.109375" style="2" bestFit="1" customWidth="1"/>
    <col min="9" max="9" width="14.88671875" style="2" bestFit="1" customWidth="1"/>
    <col min="10" max="10" width="18.6640625" style="2" bestFit="1" customWidth="1"/>
    <col min="11" max="11" width="16" style="2" bestFit="1" customWidth="1"/>
    <col min="12" max="12" width="18.109375" style="2" bestFit="1" customWidth="1"/>
    <col min="13" max="13" width="18" style="2" bestFit="1" customWidth="1"/>
  </cols>
  <sheetData>
    <row r="1" spans="1:31" s="75" customFormat="1" ht="15.6" x14ac:dyDescent="0.3">
      <c r="A1" s="73" t="s">
        <v>57</v>
      </c>
      <c r="B1" s="74" t="s">
        <v>10</v>
      </c>
      <c r="C1" s="74" t="s">
        <v>11</v>
      </c>
      <c r="D1" s="74" t="s">
        <v>12</v>
      </c>
      <c r="E1" s="74" t="s">
        <v>13</v>
      </c>
      <c r="F1" s="74" t="s">
        <v>14</v>
      </c>
      <c r="G1" s="74" t="s">
        <v>15</v>
      </c>
      <c r="H1" s="74" t="s">
        <v>16</v>
      </c>
      <c r="I1" s="74" t="s">
        <v>17</v>
      </c>
      <c r="J1" s="74" t="s">
        <v>18</v>
      </c>
      <c r="K1" s="74" t="s">
        <v>19</v>
      </c>
      <c r="L1" s="74" t="s">
        <v>20</v>
      </c>
      <c r="M1" s="74" t="s">
        <v>21</v>
      </c>
      <c r="N1" s="74" t="s">
        <v>22</v>
      </c>
      <c r="O1" s="74" t="s">
        <v>23</v>
      </c>
      <c r="P1" s="74" t="s">
        <v>24</v>
      </c>
      <c r="Q1" s="74" t="s">
        <v>25</v>
      </c>
      <c r="R1" s="74" t="s">
        <v>26</v>
      </c>
      <c r="S1" s="74" t="s">
        <v>27</v>
      </c>
      <c r="T1" s="74" t="s">
        <v>28</v>
      </c>
      <c r="U1" s="74" t="s">
        <v>29</v>
      </c>
      <c r="V1" s="74" t="s">
        <v>30</v>
      </c>
      <c r="W1" s="74" t="s">
        <v>31</v>
      </c>
      <c r="X1" s="74" t="s">
        <v>32</v>
      </c>
      <c r="Y1" s="74" t="s">
        <v>33</v>
      </c>
      <c r="Z1" s="74" t="s">
        <v>34</v>
      </c>
      <c r="AA1" s="74" t="s">
        <v>35</v>
      </c>
      <c r="AB1" s="74" t="s">
        <v>36</v>
      </c>
      <c r="AC1" s="74" t="s">
        <v>37</v>
      </c>
      <c r="AD1" s="74" t="s">
        <v>38</v>
      </c>
      <c r="AE1" s="74" t="s">
        <v>39</v>
      </c>
    </row>
    <row r="2" spans="1:31" x14ac:dyDescent="0.3">
      <c r="A2" s="39">
        <v>41305</v>
      </c>
      <c r="B2" s="55">
        <f t="shared" ref="B2:B33" si="0">C2+D2+T2+AE2</f>
        <v>8405</v>
      </c>
      <c r="C2" s="56">
        <v>579</v>
      </c>
      <c r="D2" s="57">
        <f t="shared" ref="D2:D33" si="1">SUM(E2:S2)</f>
        <v>2250</v>
      </c>
      <c r="E2" s="58">
        <v>11</v>
      </c>
      <c r="F2" s="58">
        <v>229</v>
      </c>
      <c r="G2" s="58">
        <v>116</v>
      </c>
      <c r="H2" s="58">
        <v>470</v>
      </c>
      <c r="I2" s="58">
        <v>184</v>
      </c>
      <c r="J2" s="58">
        <v>56</v>
      </c>
      <c r="K2" s="58">
        <v>25</v>
      </c>
      <c r="L2" s="58">
        <v>115</v>
      </c>
      <c r="M2" s="58">
        <v>49</v>
      </c>
      <c r="N2" s="58">
        <v>186</v>
      </c>
      <c r="O2" s="58">
        <v>66</v>
      </c>
      <c r="P2" s="58">
        <v>77</v>
      </c>
      <c r="Q2" s="58">
        <v>125</v>
      </c>
      <c r="R2" s="58">
        <v>65</v>
      </c>
      <c r="S2" s="58">
        <v>476</v>
      </c>
      <c r="T2" s="57">
        <f t="shared" ref="T2:T33" si="2">SUM(U2:AD2)</f>
        <v>5576</v>
      </c>
      <c r="U2" s="58">
        <v>116</v>
      </c>
      <c r="V2" s="58">
        <v>778</v>
      </c>
      <c r="W2" s="58">
        <v>108</v>
      </c>
      <c r="X2" s="58">
        <v>522</v>
      </c>
      <c r="Y2" s="58">
        <v>171</v>
      </c>
      <c r="Z2" s="58">
        <v>31</v>
      </c>
      <c r="AA2" s="58">
        <v>2536</v>
      </c>
      <c r="AB2" s="58">
        <v>259</v>
      </c>
      <c r="AC2" s="58">
        <v>731</v>
      </c>
      <c r="AD2" s="58">
        <v>324</v>
      </c>
      <c r="AE2" s="58">
        <v>0</v>
      </c>
    </row>
    <row r="3" spans="1:31" x14ac:dyDescent="0.3">
      <c r="A3" s="39">
        <v>41333</v>
      </c>
      <c r="B3" s="55">
        <f t="shared" si="0"/>
        <v>7522</v>
      </c>
      <c r="C3" s="56">
        <v>342</v>
      </c>
      <c r="D3" s="57">
        <f t="shared" si="1"/>
        <v>2468</v>
      </c>
      <c r="E3" s="58">
        <v>18</v>
      </c>
      <c r="F3" s="58">
        <v>219</v>
      </c>
      <c r="G3" s="58">
        <v>127</v>
      </c>
      <c r="H3" s="58">
        <v>521</v>
      </c>
      <c r="I3" s="58">
        <v>114</v>
      </c>
      <c r="J3" s="58">
        <v>57</v>
      </c>
      <c r="K3" s="58">
        <v>30</v>
      </c>
      <c r="L3" s="58">
        <v>95</v>
      </c>
      <c r="M3" s="58">
        <v>67</v>
      </c>
      <c r="N3" s="58">
        <v>245</v>
      </c>
      <c r="O3" s="58">
        <v>96</v>
      </c>
      <c r="P3" s="58">
        <v>49</v>
      </c>
      <c r="Q3" s="58">
        <v>137</v>
      </c>
      <c r="R3" s="58">
        <v>43</v>
      </c>
      <c r="S3" s="58">
        <v>650</v>
      </c>
      <c r="T3" s="57">
        <f t="shared" si="2"/>
        <v>4712</v>
      </c>
      <c r="U3" s="58">
        <v>82</v>
      </c>
      <c r="V3" s="58">
        <v>672</v>
      </c>
      <c r="W3" s="58">
        <v>123</v>
      </c>
      <c r="X3" s="58">
        <v>713</v>
      </c>
      <c r="Y3" s="58">
        <v>148</v>
      </c>
      <c r="Z3" s="58">
        <v>26</v>
      </c>
      <c r="AA3" s="58">
        <v>1596</v>
      </c>
      <c r="AB3" s="58">
        <v>287</v>
      </c>
      <c r="AC3" s="58">
        <v>745</v>
      </c>
      <c r="AD3" s="58">
        <v>320</v>
      </c>
      <c r="AE3" s="58">
        <v>0</v>
      </c>
    </row>
    <row r="4" spans="1:31" x14ac:dyDescent="0.3">
      <c r="A4" s="39">
        <v>41364</v>
      </c>
      <c r="B4" s="55">
        <f t="shared" si="0"/>
        <v>9416</v>
      </c>
      <c r="C4" s="56">
        <v>764</v>
      </c>
      <c r="D4" s="57">
        <f t="shared" si="1"/>
        <v>2807</v>
      </c>
      <c r="E4" s="58">
        <v>9</v>
      </c>
      <c r="F4" s="58">
        <v>317</v>
      </c>
      <c r="G4" s="58">
        <v>183</v>
      </c>
      <c r="H4" s="58">
        <v>484</v>
      </c>
      <c r="I4" s="58">
        <v>175</v>
      </c>
      <c r="J4" s="58">
        <v>72</v>
      </c>
      <c r="K4" s="58">
        <v>46</v>
      </c>
      <c r="L4" s="58">
        <v>92</v>
      </c>
      <c r="M4" s="58">
        <v>69</v>
      </c>
      <c r="N4" s="58">
        <v>284</v>
      </c>
      <c r="O4" s="58">
        <v>112</v>
      </c>
      <c r="P4" s="58">
        <v>167</v>
      </c>
      <c r="Q4" s="58">
        <v>166</v>
      </c>
      <c r="R4" s="58">
        <v>29</v>
      </c>
      <c r="S4" s="58">
        <v>602</v>
      </c>
      <c r="T4" s="57">
        <f t="shared" si="2"/>
        <v>5844</v>
      </c>
      <c r="U4" s="58">
        <v>104</v>
      </c>
      <c r="V4" s="58">
        <v>730</v>
      </c>
      <c r="W4" s="58">
        <v>123</v>
      </c>
      <c r="X4" s="58">
        <v>1046</v>
      </c>
      <c r="Y4" s="58">
        <v>150</v>
      </c>
      <c r="Z4" s="58">
        <v>26</v>
      </c>
      <c r="AA4" s="58">
        <v>2150</v>
      </c>
      <c r="AB4" s="58">
        <v>324</v>
      </c>
      <c r="AC4" s="58">
        <v>833</v>
      </c>
      <c r="AD4" s="58">
        <v>358</v>
      </c>
      <c r="AE4" s="58">
        <v>1</v>
      </c>
    </row>
    <row r="5" spans="1:31" x14ac:dyDescent="0.3">
      <c r="A5" s="39">
        <v>41394</v>
      </c>
      <c r="B5" s="55">
        <f t="shared" si="0"/>
        <v>11372</v>
      </c>
      <c r="C5" s="56">
        <v>753</v>
      </c>
      <c r="D5" s="57">
        <f t="shared" si="1"/>
        <v>3029</v>
      </c>
      <c r="E5" s="58">
        <v>20</v>
      </c>
      <c r="F5" s="58">
        <v>299</v>
      </c>
      <c r="G5" s="58">
        <v>157</v>
      </c>
      <c r="H5" s="58">
        <v>436</v>
      </c>
      <c r="I5" s="58">
        <v>317</v>
      </c>
      <c r="J5" s="58">
        <v>91</v>
      </c>
      <c r="K5" s="58">
        <v>42</v>
      </c>
      <c r="L5" s="58">
        <v>200</v>
      </c>
      <c r="M5" s="58">
        <v>48</v>
      </c>
      <c r="N5" s="58">
        <v>320</v>
      </c>
      <c r="O5" s="58">
        <v>134</v>
      </c>
      <c r="P5" s="58">
        <v>97</v>
      </c>
      <c r="Q5" s="58">
        <v>131</v>
      </c>
      <c r="R5" s="58">
        <v>54</v>
      </c>
      <c r="S5" s="58">
        <v>683</v>
      </c>
      <c r="T5" s="57">
        <f t="shared" si="2"/>
        <v>7590</v>
      </c>
      <c r="U5" s="58">
        <v>126</v>
      </c>
      <c r="V5" s="58">
        <v>1006</v>
      </c>
      <c r="W5" s="58">
        <v>206</v>
      </c>
      <c r="X5" s="58">
        <v>1594</v>
      </c>
      <c r="Y5" s="58">
        <v>173</v>
      </c>
      <c r="Z5" s="58">
        <v>31</v>
      </c>
      <c r="AA5" s="58">
        <v>2706</v>
      </c>
      <c r="AB5" s="58">
        <v>412</v>
      </c>
      <c r="AC5" s="58">
        <v>890</v>
      </c>
      <c r="AD5" s="58">
        <v>446</v>
      </c>
      <c r="AE5" s="58">
        <v>0</v>
      </c>
    </row>
    <row r="6" spans="1:31" x14ac:dyDescent="0.3">
      <c r="A6" s="39">
        <v>41425</v>
      </c>
      <c r="B6" s="55">
        <f t="shared" si="0"/>
        <v>12537</v>
      </c>
      <c r="C6" s="56">
        <v>905</v>
      </c>
      <c r="D6" s="57">
        <f t="shared" si="1"/>
        <v>3580</v>
      </c>
      <c r="E6" s="58">
        <v>18</v>
      </c>
      <c r="F6" s="58">
        <v>446</v>
      </c>
      <c r="G6" s="58">
        <v>167</v>
      </c>
      <c r="H6" s="58">
        <v>634</v>
      </c>
      <c r="I6" s="58">
        <v>400</v>
      </c>
      <c r="J6" s="58">
        <v>58</v>
      </c>
      <c r="K6" s="58">
        <v>36</v>
      </c>
      <c r="L6" s="58">
        <v>120</v>
      </c>
      <c r="M6" s="58">
        <v>51</v>
      </c>
      <c r="N6" s="58">
        <v>277</v>
      </c>
      <c r="O6" s="58">
        <v>233</v>
      </c>
      <c r="P6" s="58">
        <v>115</v>
      </c>
      <c r="Q6" s="58">
        <v>126</v>
      </c>
      <c r="R6" s="58">
        <v>52</v>
      </c>
      <c r="S6" s="58">
        <v>847</v>
      </c>
      <c r="T6" s="57">
        <f t="shared" si="2"/>
        <v>8052</v>
      </c>
      <c r="U6" s="58">
        <v>139</v>
      </c>
      <c r="V6" s="58">
        <v>1312</v>
      </c>
      <c r="W6" s="58">
        <v>264</v>
      </c>
      <c r="X6" s="58">
        <v>1957</v>
      </c>
      <c r="Y6" s="58">
        <v>194</v>
      </c>
      <c r="Z6" s="58">
        <v>30</v>
      </c>
      <c r="AA6" s="58">
        <v>2261</v>
      </c>
      <c r="AB6" s="58">
        <v>399</v>
      </c>
      <c r="AC6" s="58">
        <v>1001</v>
      </c>
      <c r="AD6" s="58">
        <v>495</v>
      </c>
      <c r="AE6" s="58">
        <v>0</v>
      </c>
    </row>
    <row r="7" spans="1:31" x14ac:dyDescent="0.3">
      <c r="A7" s="39">
        <v>41455</v>
      </c>
      <c r="B7" s="55">
        <f t="shared" si="0"/>
        <v>10691</v>
      </c>
      <c r="C7" s="56">
        <v>532</v>
      </c>
      <c r="D7" s="57">
        <f t="shared" si="1"/>
        <v>3268</v>
      </c>
      <c r="E7" s="58">
        <v>37</v>
      </c>
      <c r="F7" s="58">
        <v>506</v>
      </c>
      <c r="G7" s="58">
        <v>209</v>
      </c>
      <c r="H7" s="58">
        <v>428</v>
      </c>
      <c r="I7" s="58">
        <v>222</v>
      </c>
      <c r="J7" s="58">
        <v>43</v>
      </c>
      <c r="K7" s="58">
        <v>38</v>
      </c>
      <c r="L7" s="58">
        <v>136</v>
      </c>
      <c r="M7" s="58">
        <v>79</v>
      </c>
      <c r="N7" s="58">
        <v>285</v>
      </c>
      <c r="O7" s="58">
        <v>183</v>
      </c>
      <c r="P7" s="58">
        <v>47</v>
      </c>
      <c r="Q7" s="58">
        <v>160</v>
      </c>
      <c r="R7" s="58">
        <v>64</v>
      </c>
      <c r="S7" s="58">
        <v>831</v>
      </c>
      <c r="T7" s="57">
        <f t="shared" si="2"/>
        <v>6891</v>
      </c>
      <c r="U7" s="58">
        <v>138</v>
      </c>
      <c r="V7" s="58">
        <v>1412</v>
      </c>
      <c r="W7" s="58">
        <v>217</v>
      </c>
      <c r="X7" s="58">
        <v>1280</v>
      </c>
      <c r="Y7" s="58">
        <v>187</v>
      </c>
      <c r="Z7" s="58">
        <v>43</v>
      </c>
      <c r="AA7" s="58">
        <v>1675</v>
      </c>
      <c r="AB7" s="58">
        <v>479</v>
      </c>
      <c r="AC7" s="58">
        <v>932</v>
      </c>
      <c r="AD7" s="58">
        <v>528</v>
      </c>
      <c r="AE7" s="58">
        <v>0</v>
      </c>
    </row>
    <row r="8" spans="1:31" x14ac:dyDescent="0.3">
      <c r="A8" s="39">
        <v>41486</v>
      </c>
      <c r="B8" s="55">
        <f t="shared" si="0"/>
        <v>12967</v>
      </c>
      <c r="C8" s="56">
        <v>714</v>
      </c>
      <c r="D8" s="57">
        <f t="shared" si="1"/>
        <v>3816</v>
      </c>
      <c r="E8" s="58">
        <v>24</v>
      </c>
      <c r="F8" s="58">
        <v>440</v>
      </c>
      <c r="G8" s="58">
        <v>438</v>
      </c>
      <c r="H8" s="58">
        <v>376</v>
      </c>
      <c r="I8" s="58">
        <v>214</v>
      </c>
      <c r="J8" s="58">
        <v>43</v>
      </c>
      <c r="K8" s="58">
        <v>54</v>
      </c>
      <c r="L8" s="58">
        <v>99</v>
      </c>
      <c r="M8" s="58">
        <v>91</v>
      </c>
      <c r="N8" s="58">
        <v>324</v>
      </c>
      <c r="O8" s="58">
        <v>170</v>
      </c>
      <c r="P8" s="58">
        <v>94</v>
      </c>
      <c r="Q8" s="58">
        <v>205</v>
      </c>
      <c r="R8" s="58">
        <v>117</v>
      </c>
      <c r="S8" s="58">
        <v>1127</v>
      </c>
      <c r="T8" s="57">
        <f t="shared" si="2"/>
        <v>8437</v>
      </c>
      <c r="U8" s="58">
        <v>207</v>
      </c>
      <c r="V8" s="58">
        <v>1651</v>
      </c>
      <c r="W8" s="58">
        <v>201</v>
      </c>
      <c r="X8" s="58">
        <v>1394</v>
      </c>
      <c r="Y8" s="58">
        <v>236</v>
      </c>
      <c r="Z8" s="58">
        <v>79</v>
      </c>
      <c r="AA8" s="58">
        <v>2468</v>
      </c>
      <c r="AB8" s="58">
        <v>540</v>
      </c>
      <c r="AC8" s="58">
        <v>1062</v>
      </c>
      <c r="AD8" s="58">
        <v>599</v>
      </c>
      <c r="AE8" s="58">
        <v>0</v>
      </c>
    </row>
    <row r="9" spans="1:31" x14ac:dyDescent="0.3">
      <c r="A9" s="39">
        <v>41517</v>
      </c>
      <c r="B9" s="55">
        <f t="shared" si="0"/>
        <v>11313</v>
      </c>
      <c r="C9" s="56">
        <v>448</v>
      </c>
      <c r="D9" s="57">
        <f t="shared" si="1"/>
        <v>3253</v>
      </c>
      <c r="E9" s="58">
        <v>21</v>
      </c>
      <c r="F9" s="58">
        <v>612</v>
      </c>
      <c r="G9" s="58">
        <v>129</v>
      </c>
      <c r="H9" s="58">
        <v>402</v>
      </c>
      <c r="I9" s="58">
        <v>194</v>
      </c>
      <c r="J9" s="58">
        <v>46</v>
      </c>
      <c r="K9" s="58">
        <v>28</v>
      </c>
      <c r="L9" s="58">
        <v>88</v>
      </c>
      <c r="M9" s="58">
        <v>79</v>
      </c>
      <c r="N9" s="58">
        <v>269</v>
      </c>
      <c r="O9" s="58">
        <v>124</v>
      </c>
      <c r="P9" s="58">
        <v>43</v>
      </c>
      <c r="Q9" s="58">
        <v>160</v>
      </c>
      <c r="R9" s="58">
        <v>303</v>
      </c>
      <c r="S9" s="58">
        <v>755</v>
      </c>
      <c r="T9" s="57">
        <f t="shared" si="2"/>
        <v>7612</v>
      </c>
      <c r="U9" s="58">
        <v>184</v>
      </c>
      <c r="V9" s="58">
        <v>1776</v>
      </c>
      <c r="W9" s="58">
        <v>183</v>
      </c>
      <c r="X9" s="58">
        <v>948</v>
      </c>
      <c r="Y9" s="58">
        <v>232</v>
      </c>
      <c r="Z9" s="58">
        <v>52</v>
      </c>
      <c r="AA9" s="58">
        <v>2284</v>
      </c>
      <c r="AB9" s="58">
        <v>474</v>
      </c>
      <c r="AC9" s="58">
        <v>952</v>
      </c>
      <c r="AD9" s="58">
        <v>527</v>
      </c>
      <c r="AE9" s="58">
        <v>0</v>
      </c>
    </row>
    <row r="10" spans="1:31" x14ac:dyDescent="0.3">
      <c r="A10" s="39">
        <v>41547</v>
      </c>
      <c r="B10" s="55">
        <f t="shared" si="0"/>
        <v>15591</v>
      </c>
      <c r="C10" s="56">
        <v>558</v>
      </c>
      <c r="D10" s="57">
        <f t="shared" si="1"/>
        <v>5287</v>
      </c>
      <c r="E10" s="58">
        <v>20</v>
      </c>
      <c r="F10" s="58">
        <v>601</v>
      </c>
      <c r="G10" s="58">
        <v>461</v>
      </c>
      <c r="H10" s="58">
        <v>997</v>
      </c>
      <c r="I10" s="58">
        <v>347</v>
      </c>
      <c r="J10" s="58">
        <v>77</v>
      </c>
      <c r="K10" s="58">
        <v>67</v>
      </c>
      <c r="L10" s="58">
        <v>127</v>
      </c>
      <c r="M10" s="58">
        <v>98</v>
      </c>
      <c r="N10" s="58">
        <v>378</v>
      </c>
      <c r="O10" s="58">
        <v>154</v>
      </c>
      <c r="P10" s="58">
        <v>149</v>
      </c>
      <c r="Q10" s="58">
        <v>751</v>
      </c>
      <c r="R10" s="58">
        <v>57</v>
      </c>
      <c r="S10" s="58">
        <v>1003</v>
      </c>
      <c r="T10" s="57">
        <f t="shared" si="2"/>
        <v>9743</v>
      </c>
      <c r="U10" s="58">
        <v>251</v>
      </c>
      <c r="V10" s="58">
        <v>1494</v>
      </c>
      <c r="W10" s="58">
        <v>219</v>
      </c>
      <c r="X10" s="58">
        <v>1990</v>
      </c>
      <c r="Y10" s="58">
        <v>190</v>
      </c>
      <c r="Z10" s="58">
        <v>42</v>
      </c>
      <c r="AA10" s="58">
        <v>2887</v>
      </c>
      <c r="AB10" s="58">
        <v>607</v>
      </c>
      <c r="AC10" s="58">
        <v>1487</v>
      </c>
      <c r="AD10" s="58">
        <v>576</v>
      </c>
      <c r="AE10" s="58">
        <v>3</v>
      </c>
    </row>
    <row r="11" spans="1:31" x14ac:dyDescent="0.3">
      <c r="A11" s="39">
        <v>41577</v>
      </c>
      <c r="B11" s="55">
        <f t="shared" si="0"/>
        <v>14698</v>
      </c>
      <c r="C11" s="56">
        <v>857</v>
      </c>
      <c r="D11" s="57">
        <f t="shared" si="1"/>
        <v>4760</v>
      </c>
      <c r="E11" s="58">
        <v>10</v>
      </c>
      <c r="F11" s="58">
        <v>467</v>
      </c>
      <c r="G11" s="58">
        <v>285</v>
      </c>
      <c r="H11" s="58">
        <v>943</v>
      </c>
      <c r="I11" s="58">
        <v>492</v>
      </c>
      <c r="J11" s="58">
        <v>87</v>
      </c>
      <c r="K11" s="58">
        <v>66</v>
      </c>
      <c r="L11" s="58">
        <v>120</v>
      </c>
      <c r="M11" s="58">
        <v>114</v>
      </c>
      <c r="N11" s="58">
        <v>444</v>
      </c>
      <c r="O11" s="58">
        <v>191</v>
      </c>
      <c r="P11" s="58">
        <v>55</v>
      </c>
      <c r="Q11" s="58">
        <v>296</v>
      </c>
      <c r="R11" s="58">
        <v>86</v>
      </c>
      <c r="S11" s="58">
        <v>1104</v>
      </c>
      <c r="T11" s="57">
        <f t="shared" si="2"/>
        <v>9081</v>
      </c>
      <c r="U11" s="58">
        <v>271</v>
      </c>
      <c r="V11" s="58">
        <v>1999</v>
      </c>
      <c r="W11" s="58">
        <v>231</v>
      </c>
      <c r="X11" s="58">
        <v>1141</v>
      </c>
      <c r="Y11" s="58">
        <v>270</v>
      </c>
      <c r="Z11" s="58">
        <v>44</v>
      </c>
      <c r="AA11" s="58">
        <v>2493</v>
      </c>
      <c r="AB11" s="58">
        <v>641</v>
      </c>
      <c r="AC11" s="58">
        <v>1367</v>
      </c>
      <c r="AD11" s="58">
        <v>624</v>
      </c>
      <c r="AE11" s="58">
        <v>0</v>
      </c>
    </row>
    <row r="12" spans="1:31" x14ac:dyDescent="0.3">
      <c r="A12" s="39">
        <v>41608</v>
      </c>
      <c r="B12" s="55">
        <f t="shared" si="0"/>
        <v>12280</v>
      </c>
      <c r="C12" s="56">
        <v>837</v>
      </c>
      <c r="D12" s="57">
        <f t="shared" si="1"/>
        <v>4166</v>
      </c>
      <c r="E12" s="58">
        <v>33</v>
      </c>
      <c r="F12" s="58">
        <v>540</v>
      </c>
      <c r="G12" s="58">
        <v>222</v>
      </c>
      <c r="H12" s="58">
        <v>781</v>
      </c>
      <c r="I12" s="58">
        <v>319</v>
      </c>
      <c r="J12" s="58">
        <v>79</v>
      </c>
      <c r="K12" s="58">
        <v>62</v>
      </c>
      <c r="L12" s="58">
        <v>133</v>
      </c>
      <c r="M12" s="58">
        <v>91</v>
      </c>
      <c r="N12" s="58">
        <v>390</v>
      </c>
      <c r="O12" s="58">
        <v>147</v>
      </c>
      <c r="P12" s="58">
        <v>85</v>
      </c>
      <c r="Q12" s="58">
        <v>290</v>
      </c>
      <c r="R12" s="58">
        <v>120</v>
      </c>
      <c r="S12" s="58">
        <v>874</v>
      </c>
      <c r="T12" s="57">
        <f t="shared" si="2"/>
        <v>7277</v>
      </c>
      <c r="U12" s="58">
        <v>216</v>
      </c>
      <c r="V12" s="58">
        <v>1618</v>
      </c>
      <c r="W12" s="58">
        <v>196</v>
      </c>
      <c r="X12" s="58">
        <v>825</v>
      </c>
      <c r="Y12" s="58">
        <v>308</v>
      </c>
      <c r="Z12" s="58">
        <v>57</v>
      </c>
      <c r="AA12" s="58">
        <v>1867</v>
      </c>
      <c r="AB12" s="58">
        <v>438</v>
      </c>
      <c r="AC12" s="58">
        <v>1251</v>
      </c>
      <c r="AD12" s="58">
        <v>501</v>
      </c>
      <c r="AE12" s="58">
        <v>0</v>
      </c>
    </row>
    <row r="13" spans="1:31" x14ac:dyDescent="0.3">
      <c r="A13" s="39">
        <v>41639</v>
      </c>
      <c r="B13" s="55">
        <f t="shared" si="0"/>
        <v>10664</v>
      </c>
      <c r="C13" s="56">
        <v>705</v>
      </c>
      <c r="D13" s="57">
        <f t="shared" si="1"/>
        <v>3261</v>
      </c>
      <c r="E13" s="58">
        <v>21</v>
      </c>
      <c r="F13" s="58">
        <v>340</v>
      </c>
      <c r="G13" s="58">
        <v>208</v>
      </c>
      <c r="H13" s="58">
        <v>616</v>
      </c>
      <c r="I13" s="58">
        <v>202</v>
      </c>
      <c r="J13" s="58">
        <v>78</v>
      </c>
      <c r="K13" s="58">
        <v>35</v>
      </c>
      <c r="L13" s="58">
        <v>86</v>
      </c>
      <c r="M13" s="58">
        <v>98</v>
      </c>
      <c r="N13" s="58">
        <v>225</v>
      </c>
      <c r="O13" s="58">
        <v>127</v>
      </c>
      <c r="P13" s="58">
        <v>45</v>
      </c>
      <c r="Q13" s="58">
        <v>345</v>
      </c>
      <c r="R13" s="58">
        <v>82</v>
      </c>
      <c r="S13" s="58">
        <v>753</v>
      </c>
      <c r="T13" s="57">
        <f t="shared" si="2"/>
        <v>6698</v>
      </c>
      <c r="U13" s="58">
        <v>192</v>
      </c>
      <c r="V13" s="58">
        <v>1340</v>
      </c>
      <c r="W13" s="58">
        <v>159</v>
      </c>
      <c r="X13" s="58">
        <v>828</v>
      </c>
      <c r="Y13" s="58">
        <v>165</v>
      </c>
      <c r="Z13" s="58">
        <v>57</v>
      </c>
      <c r="AA13" s="58">
        <v>1810</v>
      </c>
      <c r="AB13" s="58">
        <v>613</v>
      </c>
      <c r="AC13" s="58">
        <v>1040</v>
      </c>
      <c r="AD13" s="58">
        <v>494</v>
      </c>
      <c r="AE13" s="58">
        <v>0</v>
      </c>
    </row>
    <row r="14" spans="1:31" x14ac:dyDescent="0.3">
      <c r="A14" s="39">
        <v>41670</v>
      </c>
      <c r="B14" s="59">
        <f t="shared" si="0"/>
        <v>14146</v>
      </c>
      <c r="C14" s="56">
        <v>540</v>
      </c>
      <c r="D14" s="15">
        <f t="shared" si="1"/>
        <v>3971</v>
      </c>
      <c r="E14" s="58">
        <v>35</v>
      </c>
      <c r="F14" s="58">
        <v>385</v>
      </c>
      <c r="G14" s="58">
        <v>261</v>
      </c>
      <c r="H14" s="58">
        <v>846</v>
      </c>
      <c r="I14" s="58">
        <v>350</v>
      </c>
      <c r="J14" s="58">
        <v>97</v>
      </c>
      <c r="K14" s="58">
        <v>65</v>
      </c>
      <c r="L14" s="58">
        <v>84</v>
      </c>
      <c r="M14" s="58">
        <v>124</v>
      </c>
      <c r="N14" s="58">
        <v>438</v>
      </c>
      <c r="O14" s="58">
        <v>206</v>
      </c>
      <c r="P14" s="58">
        <v>65</v>
      </c>
      <c r="Q14" s="58">
        <v>228</v>
      </c>
      <c r="R14" s="58">
        <v>83</v>
      </c>
      <c r="S14" s="58">
        <v>704</v>
      </c>
      <c r="T14" s="15">
        <f t="shared" si="2"/>
        <v>9635</v>
      </c>
      <c r="U14" s="58">
        <v>223</v>
      </c>
      <c r="V14" s="58">
        <v>1545</v>
      </c>
      <c r="W14" s="58">
        <v>233</v>
      </c>
      <c r="X14" s="58">
        <v>1411</v>
      </c>
      <c r="Y14" s="58">
        <v>275</v>
      </c>
      <c r="Z14" s="58">
        <v>53</v>
      </c>
      <c r="AA14" s="58">
        <v>3705</v>
      </c>
      <c r="AB14" s="58">
        <v>641</v>
      </c>
      <c r="AC14" s="58">
        <v>1056</v>
      </c>
      <c r="AD14" s="58">
        <v>493</v>
      </c>
      <c r="AE14" s="58">
        <v>0</v>
      </c>
    </row>
    <row r="15" spans="1:31" x14ac:dyDescent="0.3">
      <c r="A15" s="39">
        <v>41698</v>
      </c>
      <c r="B15" s="59">
        <f t="shared" si="0"/>
        <v>13164</v>
      </c>
      <c r="C15" s="56">
        <v>477</v>
      </c>
      <c r="D15" s="15">
        <f t="shared" si="1"/>
        <v>3836</v>
      </c>
      <c r="E15" s="58">
        <v>59</v>
      </c>
      <c r="F15" s="58">
        <v>439</v>
      </c>
      <c r="G15" s="58">
        <v>290</v>
      </c>
      <c r="H15" s="58">
        <v>689</v>
      </c>
      <c r="I15" s="58">
        <v>289</v>
      </c>
      <c r="J15" s="58">
        <v>62</v>
      </c>
      <c r="K15" s="58">
        <v>64</v>
      </c>
      <c r="L15" s="58">
        <v>108</v>
      </c>
      <c r="M15" s="58">
        <v>87</v>
      </c>
      <c r="N15" s="58">
        <v>340</v>
      </c>
      <c r="O15" s="58">
        <v>148</v>
      </c>
      <c r="P15" s="58">
        <v>150</v>
      </c>
      <c r="Q15" s="58">
        <v>186</v>
      </c>
      <c r="R15" s="58">
        <v>106</v>
      </c>
      <c r="S15" s="58">
        <v>819</v>
      </c>
      <c r="T15" s="15">
        <f t="shared" si="2"/>
        <v>8851</v>
      </c>
      <c r="U15" s="58">
        <v>252</v>
      </c>
      <c r="V15" s="58">
        <v>1562</v>
      </c>
      <c r="W15" s="58">
        <v>275</v>
      </c>
      <c r="X15" s="58">
        <v>1119</v>
      </c>
      <c r="Y15" s="58">
        <v>192</v>
      </c>
      <c r="Z15" s="58">
        <v>59</v>
      </c>
      <c r="AA15" s="58">
        <v>3511</v>
      </c>
      <c r="AB15" s="58">
        <v>499</v>
      </c>
      <c r="AC15" s="58">
        <v>929</v>
      </c>
      <c r="AD15" s="58">
        <v>453</v>
      </c>
      <c r="AE15" s="58">
        <v>0</v>
      </c>
    </row>
    <row r="16" spans="1:31" x14ac:dyDescent="0.3">
      <c r="A16" s="39">
        <v>41729</v>
      </c>
      <c r="B16" s="59">
        <f t="shared" si="0"/>
        <v>14937</v>
      </c>
      <c r="C16" s="56">
        <v>996</v>
      </c>
      <c r="D16" s="15">
        <f t="shared" si="1"/>
        <v>4521</v>
      </c>
      <c r="E16" s="58">
        <v>28</v>
      </c>
      <c r="F16" s="58">
        <v>362</v>
      </c>
      <c r="G16" s="58">
        <v>349</v>
      </c>
      <c r="H16" s="58">
        <v>944</v>
      </c>
      <c r="I16" s="58">
        <v>327</v>
      </c>
      <c r="J16" s="58">
        <v>107</v>
      </c>
      <c r="K16" s="58">
        <v>51</v>
      </c>
      <c r="L16" s="58">
        <v>77</v>
      </c>
      <c r="M16" s="58">
        <v>166</v>
      </c>
      <c r="N16" s="58">
        <v>381</v>
      </c>
      <c r="O16" s="58">
        <v>187</v>
      </c>
      <c r="P16" s="58">
        <v>80</v>
      </c>
      <c r="Q16" s="58">
        <v>355</v>
      </c>
      <c r="R16" s="58">
        <v>92</v>
      </c>
      <c r="S16" s="58">
        <v>1015</v>
      </c>
      <c r="T16" s="15">
        <f t="shared" si="2"/>
        <v>9420</v>
      </c>
      <c r="U16" s="58">
        <v>240</v>
      </c>
      <c r="V16" s="58">
        <v>1866</v>
      </c>
      <c r="W16" s="58">
        <v>236</v>
      </c>
      <c r="X16" s="58">
        <v>1710</v>
      </c>
      <c r="Y16" s="58">
        <v>189</v>
      </c>
      <c r="Z16" s="58">
        <v>54</v>
      </c>
      <c r="AA16" s="58">
        <v>2880</v>
      </c>
      <c r="AB16" s="58">
        <v>655</v>
      </c>
      <c r="AC16" s="58">
        <v>1078</v>
      </c>
      <c r="AD16" s="58">
        <v>512</v>
      </c>
      <c r="AE16" s="58">
        <v>0</v>
      </c>
    </row>
    <row r="17" spans="1:31" x14ac:dyDescent="0.3">
      <c r="A17" s="39">
        <v>41759</v>
      </c>
      <c r="B17" s="59">
        <f t="shared" si="0"/>
        <v>13831</v>
      </c>
      <c r="C17" s="56">
        <v>874</v>
      </c>
      <c r="D17" s="15">
        <f t="shared" si="1"/>
        <v>3892</v>
      </c>
      <c r="E17" s="58">
        <v>11</v>
      </c>
      <c r="F17" s="58">
        <v>358</v>
      </c>
      <c r="G17" s="58">
        <v>292</v>
      </c>
      <c r="H17" s="58">
        <v>654</v>
      </c>
      <c r="I17" s="58">
        <v>342</v>
      </c>
      <c r="J17" s="58">
        <v>93</v>
      </c>
      <c r="K17" s="58">
        <v>51</v>
      </c>
      <c r="L17" s="58">
        <v>132</v>
      </c>
      <c r="M17" s="58">
        <v>156</v>
      </c>
      <c r="N17" s="58">
        <v>323</v>
      </c>
      <c r="O17" s="58">
        <v>115</v>
      </c>
      <c r="P17" s="58">
        <v>204</v>
      </c>
      <c r="Q17" s="58">
        <v>156</v>
      </c>
      <c r="R17" s="58">
        <v>62</v>
      </c>
      <c r="S17" s="58">
        <v>943</v>
      </c>
      <c r="T17" s="15">
        <f t="shared" si="2"/>
        <v>9063</v>
      </c>
      <c r="U17" s="58">
        <v>227</v>
      </c>
      <c r="V17" s="58">
        <v>1723</v>
      </c>
      <c r="W17" s="58">
        <v>337</v>
      </c>
      <c r="X17" s="58">
        <v>1983</v>
      </c>
      <c r="Y17" s="58">
        <v>195</v>
      </c>
      <c r="Z17" s="58">
        <v>43</v>
      </c>
      <c r="AA17" s="58">
        <v>2484</v>
      </c>
      <c r="AB17" s="58">
        <v>524</v>
      </c>
      <c r="AC17" s="58">
        <v>995</v>
      </c>
      <c r="AD17" s="58">
        <v>552</v>
      </c>
      <c r="AE17" s="58">
        <v>2</v>
      </c>
    </row>
    <row r="18" spans="1:31" x14ac:dyDescent="0.3">
      <c r="A18" s="39">
        <v>41790</v>
      </c>
      <c r="B18" s="59">
        <f t="shared" si="0"/>
        <v>15255</v>
      </c>
      <c r="C18" s="56">
        <v>852</v>
      </c>
      <c r="D18" s="15">
        <f t="shared" si="1"/>
        <v>4745</v>
      </c>
      <c r="E18" s="58">
        <v>24</v>
      </c>
      <c r="F18" s="58">
        <v>541</v>
      </c>
      <c r="G18" s="58">
        <v>447</v>
      </c>
      <c r="H18" s="58">
        <v>790</v>
      </c>
      <c r="I18" s="58">
        <v>418</v>
      </c>
      <c r="J18" s="58">
        <v>76</v>
      </c>
      <c r="K18" s="58">
        <v>61</v>
      </c>
      <c r="L18" s="58">
        <v>128</v>
      </c>
      <c r="M18" s="58">
        <v>124</v>
      </c>
      <c r="N18" s="58">
        <v>379</v>
      </c>
      <c r="O18" s="58">
        <v>163</v>
      </c>
      <c r="P18" s="58">
        <v>85</v>
      </c>
      <c r="Q18" s="58">
        <v>174</v>
      </c>
      <c r="R18" s="58">
        <v>149</v>
      </c>
      <c r="S18" s="58">
        <v>1186</v>
      </c>
      <c r="T18" s="15">
        <f t="shared" si="2"/>
        <v>9658</v>
      </c>
      <c r="U18" s="58">
        <v>276</v>
      </c>
      <c r="V18" s="58">
        <v>1861</v>
      </c>
      <c r="W18" s="58">
        <v>330</v>
      </c>
      <c r="X18" s="58">
        <v>2303</v>
      </c>
      <c r="Y18" s="58">
        <v>215</v>
      </c>
      <c r="Z18" s="58">
        <v>70</v>
      </c>
      <c r="AA18" s="58">
        <v>2275</v>
      </c>
      <c r="AB18" s="58">
        <v>632</v>
      </c>
      <c r="AC18" s="58">
        <v>1118</v>
      </c>
      <c r="AD18" s="58">
        <v>578</v>
      </c>
      <c r="AE18" s="58">
        <v>0</v>
      </c>
    </row>
    <row r="19" spans="1:31" x14ac:dyDescent="0.3">
      <c r="A19" s="39">
        <v>41820</v>
      </c>
      <c r="B19" s="59">
        <f t="shared" si="0"/>
        <v>13330</v>
      </c>
      <c r="C19" s="56">
        <v>541</v>
      </c>
      <c r="D19" s="15">
        <f t="shared" si="1"/>
        <v>3976</v>
      </c>
      <c r="E19" s="58">
        <v>10</v>
      </c>
      <c r="F19" s="58">
        <v>540</v>
      </c>
      <c r="G19" s="58">
        <v>216</v>
      </c>
      <c r="H19" s="58">
        <v>562</v>
      </c>
      <c r="I19" s="58">
        <v>266</v>
      </c>
      <c r="J19" s="58">
        <v>145</v>
      </c>
      <c r="K19" s="58">
        <v>64</v>
      </c>
      <c r="L19" s="58">
        <v>132</v>
      </c>
      <c r="M19" s="58">
        <v>80</v>
      </c>
      <c r="N19" s="58">
        <v>300</v>
      </c>
      <c r="O19" s="58">
        <v>126</v>
      </c>
      <c r="P19" s="58">
        <v>84</v>
      </c>
      <c r="Q19" s="58">
        <v>254</v>
      </c>
      <c r="R19" s="58">
        <v>82</v>
      </c>
      <c r="S19" s="58">
        <v>1115</v>
      </c>
      <c r="T19" s="15">
        <f t="shared" si="2"/>
        <v>8813</v>
      </c>
      <c r="U19" s="58">
        <v>271</v>
      </c>
      <c r="V19" s="58">
        <v>1946</v>
      </c>
      <c r="W19" s="58">
        <v>293</v>
      </c>
      <c r="X19" s="58">
        <v>1831</v>
      </c>
      <c r="Y19" s="58">
        <v>175</v>
      </c>
      <c r="Z19" s="58">
        <v>57</v>
      </c>
      <c r="AA19" s="58">
        <v>2068</v>
      </c>
      <c r="AB19" s="58">
        <v>492</v>
      </c>
      <c r="AC19" s="58">
        <v>1116</v>
      </c>
      <c r="AD19" s="58">
        <v>564</v>
      </c>
      <c r="AE19" s="58">
        <v>0</v>
      </c>
    </row>
    <row r="20" spans="1:31" x14ac:dyDescent="0.3">
      <c r="A20" s="39">
        <v>41851</v>
      </c>
      <c r="B20" s="59">
        <f t="shared" si="0"/>
        <v>13736</v>
      </c>
      <c r="C20" s="15">
        <v>536</v>
      </c>
      <c r="D20" s="15">
        <f t="shared" si="1"/>
        <v>4198</v>
      </c>
      <c r="E20" s="58">
        <v>21</v>
      </c>
      <c r="F20" s="58">
        <v>538</v>
      </c>
      <c r="G20" s="58">
        <v>161</v>
      </c>
      <c r="H20" s="58">
        <v>625</v>
      </c>
      <c r="I20" s="58">
        <v>209</v>
      </c>
      <c r="J20" s="58">
        <v>82</v>
      </c>
      <c r="K20" s="58">
        <v>61</v>
      </c>
      <c r="L20" s="58">
        <v>114</v>
      </c>
      <c r="M20" s="58">
        <v>116</v>
      </c>
      <c r="N20" s="58">
        <v>385</v>
      </c>
      <c r="O20" s="58">
        <v>197</v>
      </c>
      <c r="P20" s="58">
        <v>286</v>
      </c>
      <c r="Q20" s="58">
        <v>192</v>
      </c>
      <c r="R20" s="58">
        <v>105</v>
      </c>
      <c r="S20" s="58">
        <v>1106</v>
      </c>
      <c r="T20" s="15">
        <f t="shared" si="2"/>
        <v>9002</v>
      </c>
      <c r="U20" s="58">
        <v>316</v>
      </c>
      <c r="V20" s="58">
        <v>2016</v>
      </c>
      <c r="W20" s="58">
        <v>250</v>
      </c>
      <c r="X20" s="58">
        <v>1530</v>
      </c>
      <c r="Y20" s="58">
        <v>244</v>
      </c>
      <c r="Z20" s="58">
        <v>52</v>
      </c>
      <c r="AA20" s="58">
        <v>2214</v>
      </c>
      <c r="AB20" s="58">
        <v>570</v>
      </c>
      <c r="AC20" s="58">
        <v>1167</v>
      </c>
      <c r="AD20" s="58">
        <v>643</v>
      </c>
      <c r="AE20" s="58">
        <v>0</v>
      </c>
    </row>
    <row r="21" spans="1:31" x14ac:dyDescent="0.3">
      <c r="A21" s="39">
        <v>41882</v>
      </c>
      <c r="B21" s="59">
        <f t="shared" si="0"/>
        <v>10180</v>
      </c>
      <c r="C21" s="15">
        <v>641</v>
      </c>
      <c r="D21" s="15">
        <f t="shared" si="1"/>
        <v>2539</v>
      </c>
      <c r="E21" s="58">
        <v>9</v>
      </c>
      <c r="F21" s="58">
        <v>569</v>
      </c>
      <c r="G21" s="58">
        <v>64</v>
      </c>
      <c r="H21" s="58">
        <v>220</v>
      </c>
      <c r="I21" s="58">
        <v>98</v>
      </c>
      <c r="J21" s="58">
        <v>32</v>
      </c>
      <c r="K21" s="58">
        <v>32</v>
      </c>
      <c r="L21" s="58">
        <v>69</v>
      </c>
      <c r="M21" s="58">
        <v>73</v>
      </c>
      <c r="N21" s="58">
        <v>205</v>
      </c>
      <c r="O21" s="58">
        <v>82</v>
      </c>
      <c r="P21" s="58">
        <v>70</v>
      </c>
      <c r="Q21" s="58">
        <v>111</v>
      </c>
      <c r="R21" s="58">
        <v>47</v>
      </c>
      <c r="S21" s="58">
        <v>858</v>
      </c>
      <c r="T21" s="15">
        <f t="shared" si="2"/>
        <v>6999</v>
      </c>
      <c r="U21" s="58">
        <v>200</v>
      </c>
      <c r="V21" s="58">
        <v>1510</v>
      </c>
      <c r="W21" s="58">
        <v>181</v>
      </c>
      <c r="X21" s="58">
        <v>878</v>
      </c>
      <c r="Y21" s="58">
        <v>143</v>
      </c>
      <c r="Z21" s="58">
        <v>42</v>
      </c>
      <c r="AA21" s="58">
        <v>2525</v>
      </c>
      <c r="AB21" s="58">
        <v>339</v>
      </c>
      <c r="AC21" s="58">
        <v>790</v>
      </c>
      <c r="AD21" s="58">
        <v>391</v>
      </c>
      <c r="AE21" s="58">
        <v>1</v>
      </c>
    </row>
    <row r="22" spans="1:31" x14ac:dyDescent="0.3">
      <c r="A22" s="39">
        <v>41912</v>
      </c>
      <c r="B22" s="59">
        <f t="shared" si="0"/>
        <v>16028</v>
      </c>
      <c r="C22" s="56">
        <v>640</v>
      </c>
      <c r="D22" s="15">
        <f t="shared" si="1"/>
        <v>4692</v>
      </c>
      <c r="E22" s="58">
        <v>21</v>
      </c>
      <c r="F22" s="58">
        <v>556</v>
      </c>
      <c r="G22" s="58">
        <v>272</v>
      </c>
      <c r="H22" s="58">
        <v>976</v>
      </c>
      <c r="I22" s="58">
        <v>316</v>
      </c>
      <c r="J22" s="58">
        <v>113</v>
      </c>
      <c r="K22" s="58">
        <v>76</v>
      </c>
      <c r="L22" s="58">
        <v>137</v>
      </c>
      <c r="M22" s="58">
        <v>114</v>
      </c>
      <c r="N22" s="58">
        <v>321</v>
      </c>
      <c r="O22" s="58">
        <v>185</v>
      </c>
      <c r="P22" s="58">
        <v>64</v>
      </c>
      <c r="Q22" s="58">
        <v>457</v>
      </c>
      <c r="R22" s="58">
        <v>112</v>
      </c>
      <c r="S22" s="58">
        <v>972</v>
      </c>
      <c r="T22" s="15">
        <f t="shared" si="2"/>
        <v>10674</v>
      </c>
      <c r="U22" s="58">
        <v>267</v>
      </c>
      <c r="V22" s="58">
        <v>1771</v>
      </c>
      <c r="W22" s="58">
        <v>284</v>
      </c>
      <c r="X22" s="58">
        <v>1809</v>
      </c>
      <c r="Y22" s="58">
        <v>248</v>
      </c>
      <c r="Z22" s="58">
        <v>59</v>
      </c>
      <c r="AA22" s="58">
        <v>2696</v>
      </c>
      <c r="AB22" s="58">
        <v>934</v>
      </c>
      <c r="AC22" s="58">
        <v>1928</v>
      </c>
      <c r="AD22" s="58">
        <v>678</v>
      </c>
      <c r="AE22" s="58">
        <v>22</v>
      </c>
    </row>
    <row r="23" spans="1:31" x14ac:dyDescent="0.3">
      <c r="A23" s="39">
        <v>41942</v>
      </c>
      <c r="B23" s="59">
        <f t="shared" si="0"/>
        <v>14867</v>
      </c>
      <c r="C23" s="56">
        <v>613</v>
      </c>
      <c r="D23" s="15">
        <f t="shared" si="1"/>
        <v>4342</v>
      </c>
      <c r="E23" s="58">
        <v>10</v>
      </c>
      <c r="F23" s="58">
        <v>559</v>
      </c>
      <c r="G23" s="58">
        <v>271</v>
      </c>
      <c r="H23" s="58">
        <v>706</v>
      </c>
      <c r="I23" s="58">
        <v>291</v>
      </c>
      <c r="J23" s="58">
        <v>139</v>
      </c>
      <c r="K23" s="58">
        <v>94</v>
      </c>
      <c r="L23" s="58">
        <v>97</v>
      </c>
      <c r="M23" s="58">
        <v>140</v>
      </c>
      <c r="N23" s="58">
        <v>365</v>
      </c>
      <c r="O23" s="58">
        <v>137</v>
      </c>
      <c r="P23" s="58">
        <v>44</v>
      </c>
      <c r="Q23" s="58">
        <v>295</v>
      </c>
      <c r="R23" s="58">
        <v>95</v>
      </c>
      <c r="S23" s="58">
        <v>1099</v>
      </c>
      <c r="T23" s="15">
        <f t="shared" si="2"/>
        <v>9912</v>
      </c>
      <c r="U23" s="58">
        <v>311</v>
      </c>
      <c r="V23" s="58">
        <v>2189</v>
      </c>
      <c r="W23" s="58">
        <v>243</v>
      </c>
      <c r="X23" s="58">
        <v>1490</v>
      </c>
      <c r="Y23" s="58">
        <v>302</v>
      </c>
      <c r="Z23" s="58">
        <v>74</v>
      </c>
      <c r="AA23" s="58">
        <v>2344</v>
      </c>
      <c r="AB23" s="58">
        <v>780</v>
      </c>
      <c r="AC23" s="58">
        <v>1541</v>
      </c>
      <c r="AD23" s="58">
        <v>638</v>
      </c>
      <c r="AE23" s="58">
        <v>0</v>
      </c>
    </row>
    <row r="24" spans="1:31" x14ac:dyDescent="0.3">
      <c r="A24" s="39">
        <v>41973</v>
      </c>
      <c r="B24" s="59">
        <f t="shared" si="0"/>
        <v>12313</v>
      </c>
      <c r="C24" s="56">
        <v>630</v>
      </c>
      <c r="D24" s="15">
        <f t="shared" si="1"/>
        <v>3406</v>
      </c>
      <c r="E24" s="58">
        <v>8</v>
      </c>
      <c r="F24" s="58">
        <v>410</v>
      </c>
      <c r="G24" s="58">
        <v>185</v>
      </c>
      <c r="H24" s="58">
        <v>688</v>
      </c>
      <c r="I24" s="58">
        <v>153</v>
      </c>
      <c r="J24" s="58">
        <v>61</v>
      </c>
      <c r="K24" s="58">
        <v>67</v>
      </c>
      <c r="L24" s="58">
        <v>112</v>
      </c>
      <c r="M24" s="58">
        <v>82</v>
      </c>
      <c r="N24" s="58">
        <v>271</v>
      </c>
      <c r="O24" s="58">
        <v>105</v>
      </c>
      <c r="P24" s="58">
        <v>77</v>
      </c>
      <c r="Q24" s="58">
        <v>326</v>
      </c>
      <c r="R24" s="58">
        <v>81</v>
      </c>
      <c r="S24" s="58">
        <v>780</v>
      </c>
      <c r="T24" s="15">
        <f t="shared" si="2"/>
        <v>8277</v>
      </c>
      <c r="U24" s="58">
        <v>203</v>
      </c>
      <c r="V24" s="58">
        <v>1706</v>
      </c>
      <c r="W24" s="58">
        <v>212</v>
      </c>
      <c r="X24" s="58">
        <v>892</v>
      </c>
      <c r="Y24" s="58">
        <v>256</v>
      </c>
      <c r="Z24" s="58">
        <v>43</v>
      </c>
      <c r="AA24" s="58">
        <v>2297</v>
      </c>
      <c r="AB24" s="58">
        <v>613</v>
      </c>
      <c r="AC24" s="58">
        <v>1510</v>
      </c>
      <c r="AD24" s="58">
        <v>545</v>
      </c>
      <c r="AE24" s="58">
        <v>0</v>
      </c>
    </row>
    <row r="25" spans="1:31" x14ac:dyDescent="0.3">
      <c r="A25" s="39">
        <v>42004</v>
      </c>
      <c r="B25" s="59">
        <f t="shared" si="0"/>
        <v>10410</v>
      </c>
      <c r="C25" s="56">
        <v>604</v>
      </c>
      <c r="D25" s="15">
        <f t="shared" si="1"/>
        <v>2795</v>
      </c>
      <c r="E25" s="58">
        <v>14</v>
      </c>
      <c r="F25" s="58">
        <v>358</v>
      </c>
      <c r="G25" s="58">
        <v>172</v>
      </c>
      <c r="H25" s="58">
        <v>392</v>
      </c>
      <c r="I25" s="58">
        <v>316</v>
      </c>
      <c r="J25" s="58">
        <v>56</v>
      </c>
      <c r="K25" s="58">
        <v>50</v>
      </c>
      <c r="L25" s="58">
        <v>78</v>
      </c>
      <c r="M25" s="58">
        <v>64</v>
      </c>
      <c r="N25" s="58">
        <v>242</v>
      </c>
      <c r="O25" s="58">
        <v>113</v>
      </c>
      <c r="P25" s="58">
        <v>74</v>
      </c>
      <c r="Q25" s="58">
        <v>170</v>
      </c>
      <c r="R25" s="58">
        <v>34</v>
      </c>
      <c r="S25" s="58">
        <v>662</v>
      </c>
      <c r="T25" s="15">
        <f t="shared" si="2"/>
        <v>7011</v>
      </c>
      <c r="U25" s="58">
        <v>228</v>
      </c>
      <c r="V25" s="58">
        <v>1327</v>
      </c>
      <c r="W25" s="58">
        <v>186</v>
      </c>
      <c r="X25" s="58">
        <v>1037</v>
      </c>
      <c r="Y25" s="58">
        <v>246</v>
      </c>
      <c r="Z25" s="58">
        <v>79</v>
      </c>
      <c r="AA25" s="58">
        <v>1543</v>
      </c>
      <c r="AB25" s="58">
        <v>701</v>
      </c>
      <c r="AC25" s="58">
        <v>1100</v>
      </c>
      <c r="AD25" s="58">
        <v>564</v>
      </c>
      <c r="AE25" s="58">
        <v>0</v>
      </c>
    </row>
    <row r="26" spans="1:31" x14ac:dyDescent="0.3">
      <c r="A26" s="39">
        <v>42035</v>
      </c>
      <c r="B26" s="55">
        <f t="shared" si="0"/>
        <v>15500</v>
      </c>
      <c r="C26" s="56">
        <v>895</v>
      </c>
      <c r="D26" s="57">
        <f t="shared" si="1"/>
        <v>4209</v>
      </c>
      <c r="E26" s="58">
        <v>17</v>
      </c>
      <c r="F26" s="58">
        <v>352</v>
      </c>
      <c r="G26" s="58">
        <v>390</v>
      </c>
      <c r="H26" s="58">
        <v>591</v>
      </c>
      <c r="I26" s="58">
        <v>234</v>
      </c>
      <c r="J26" s="58">
        <v>88</v>
      </c>
      <c r="K26" s="58">
        <v>81</v>
      </c>
      <c r="L26" s="58">
        <v>215</v>
      </c>
      <c r="M26" s="58">
        <v>112</v>
      </c>
      <c r="N26" s="58">
        <v>362</v>
      </c>
      <c r="O26" s="58">
        <v>139</v>
      </c>
      <c r="P26" s="58">
        <v>132</v>
      </c>
      <c r="Q26" s="58">
        <v>429</v>
      </c>
      <c r="R26" s="58">
        <v>67</v>
      </c>
      <c r="S26" s="58">
        <v>1000</v>
      </c>
      <c r="T26" s="57">
        <f t="shared" si="2"/>
        <v>10395</v>
      </c>
      <c r="U26" s="58">
        <v>311</v>
      </c>
      <c r="V26" s="58">
        <v>1752</v>
      </c>
      <c r="W26" s="58">
        <v>291</v>
      </c>
      <c r="X26" s="58">
        <v>1578</v>
      </c>
      <c r="Y26" s="58">
        <v>283</v>
      </c>
      <c r="Z26" s="58">
        <v>74</v>
      </c>
      <c r="AA26" s="58">
        <v>3289</v>
      </c>
      <c r="AB26" s="58">
        <v>843</v>
      </c>
      <c r="AC26" s="58">
        <v>1412</v>
      </c>
      <c r="AD26" s="58">
        <v>562</v>
      </c>
      <c r="AE26" s="58">
        <v>1</v>
      </c>
    </row>
    <row r="27" spans="1:31" x14ac:dyDescent="0.3">
      <c r="A27" s="39">
        <v>42063</v>
      </c>
      <c r="B27" s="55">
        <f t="shared" si="0"/>
        <v>13367</v>
      </c>
      <c r="C27" s="56">
        <v>631</v>
      </c>
      <c r="D27" s="57">
        <f t="shared" si="1"/>
        <v>3818</v>
      </c>
      <c r="E27" s="58">
        <v>14</v>
      </c>
      <c r="F27" s="58">
        <v>437</v>
      </c>
      <c r="G27" s="58">
        <v>207</v>
      </c>
      <c r="H27" s="58">
        <v>682</v>
      </c>
      <c r="I27" s="58">
        <v>272</v>
      </c>
      <c r="J27" s="58">
        <v>98</v>
      </c>
      <c r="K27" s="58">
        <v>71</v>
      </c>
      <c r="L27" s="58">
        <v>126</v>
      </c>
      <c r="M27" s="58">
        <v>92</v>
      </c>
      <c r="N27" s="58">
        <v>279</v>
      </c>
      <c r="O27" s="58">
        <v>123</v>
      </c>
      <c r="P27" s="58">
        <v>194</v>
      </c>
      <c r="Q27" s="58">
        <v>284</v>
      </c>
      <c r="R27" s="58">
        <v>103</v>
      </c>
      <c r="S27" s="58">
        <v>836</v>
      </c>
      <c r="T27" s="57">
        <f t="shared" si="2"/>
        <v>8917</v>
      </c>
      <c r="U27" s="58">
        <v>297</v>
      </c>
      <c r="V27" s="58">
        <v>1703</v>
      </c>
      <c r="W27" s="58">
        <v>328</v>
      </c>
      <c r="X27" s="58">
        <v>1494</v>
      </c>
      <c r="Y27" s="58">
        <v>298</v>
      </c>
      <c r="Z27" s="58">
        <v>62</v>
      </c>
      <c r="AA27" s="58">
        <v>2040</v>
      </c>
      <c r="AB27" s="58">
        <v>857</v>
      </c>
      <c r="AC27" s="58">
        <v>1146</v>
      </c>
      <c r="AD27" s="58">
        <v>692</v>
      </c>
      <c r="AE27" s="58">
        <v>1</v>
      </c>
    </row>
    <row r="28" spans="1:31" x14ac:dyDescent="0.3">
      <c r="A28" s="39">
        <v>42094</v>
      </c>
      <c r="B28" s="55">
        <f t="shared" si="0"/>
        <v>16286</v>
      </c>
      <c r="C28" s="56">
        <v>1039</v>
      </c>
      <c r="D28" s="57">
        <f t="shared" si="1"/>
        <v>4062</v>
      </c>
      <c r="E28" s="58">
        <v>11</v>
      </c>
      <c r="F28" s="58">
        <v>379</v>
      </c>
      <c r="G28" s="58">
        <v>228</v>
      </c>
      <c r="H28" s="58">
        <v>648</v>
      </c>
      <c r="I28" s="58">
        <v>235</v>
      </c>
      <c r="J28" s="58">
        <v>107</v>
      </c>
      <c r="K28" s="58">
        <v>93</v>
      </c>
      <c r="L28" s="58">
        <v>144</v>
      </c>
      <c r="M28" s="58">
        <v>127</v>
      </c>
      <c r="N28" s="58">
        <v>353</v>
      </c>
      <c r="O28" s="58">
        <v>141</v>
      </c>
      <c r="P28" s="58">
        <v>85</v>
      </c>
      <c r="Q28" s="58">
        <v>401</v>
      </c>
      <c r="R28" s="58">
        <v>74</v>
      </c>
      <c r="S28" s="58">
        <v>1036</v>
      </c>
      <c r="T28" s="57">
        <f t="shared" si="2"/>
        <v>11182</v>
      </c>
      <c r="U28" s="58">
        <v>358</v>
      </c>
      <c r="V28" s="58">
        <v>2312</v>
      </c>
      <c r="W28" s="58">
        <v>367</v>
      </c>
      <c r="X28" s="58">
        <v>2389</v>
      </c>
      <c r="Y28" s="58">
        <v>267</v>
      </c>
      <c r="Z28" s="58">
        <v>90</v>
      </c>
      <c r="AA28" s="58">
        <v>2429</v>
      </c>
      <c r="AB28" s="58">
        <v>843</v>
      </c>
      <c r="AC28" s="58">
        <v>1385</v>
      </c>
      <c r="AD28" s="58">
        <v>742</v>
      </c>
      <c r="AE28" s="58">
        <v>3</v>
      </c>
    </row>
    <row r="29" spans="1:31" x14ac:dyDescent="0.3">
      <c r="A29" s="39">
        <v>42124</v>
      </c>
      <c r="B29" s="55">
        <f t="shared" si="0"/>
        <v>17187</v>
      </c>
      <c r="C29" s="56">
        <v>1416</v>
      </c>
      <c r="D29" s="57">
        <f t="shared" si="1"/>
        <v>3935</v>
      </c>
      <c r="E29" s="58">
        <v>21</v>
      </c>
      <c r="F29" s="58">
        <v>475</v>
      </c>
      <c r="G29" s="58">
        <v>258</v>
      </c>
      <c r="H29" s="58">
        <v>593</v>
      </c>
      <c r="I29" s="58">
        <v>295</v>
      </c>
      <c r="J29" s="58">
        <v>81</v>
      </c>
      <c r="K29" s="58">
        <v>68</v>
      </c>
      <c r="L29" s="58">
        <v>98</v>
      </c>
      <c r="M29" s="58">
        <v>119</v>
      </c>
      <c r="N29" s="58">
        <v>355</v>
      </c>
      <c r="O29" s="58">
        <v>139</v>
      </c>
      <c r="P29" s="58">
        <v>97</v>
      </c>
      <c r="Q29" s="58">
        <v>213</v>
      </c>
      <c r="R29" s="58">
        <v>63</v>
      </c>
      <c r="S29" s="58">
        <v>1060</v>
      </c>
      <c r="T29" s="57">
        <f t="shared" si="2"/>
        <v>11830</v>
      </c>
      <c r="U29" s="58">
        <v>370</v>
      </c>
      <c r="V29" s="58">
        <v>2164</v>
      </c>
      <c r="W29" s="58">
        <v>372</v>
      </c>
      <c r="X29" s="58">
        <v>2590</v>
      </c>
      <c r="Y29" s="58">
        <v>315</v>
      </c>
      <c r="Z29" s="58">
        <v>79</v>
      </c>
      <c r="AA29" s="58">
        <v>2894</v>
      </c>
      <c r="AB29" s="58">
        <v>806</v>
      </c>
      <c r="AC29" s="58">
        <v>1415</v>
      </c>
      <c r="AD29" s="58">
        <v>825</v>
      </c>
      <c r="AE29" s="58">
        <v>6</v>
      </c>
    </row>
    <row r="30" spans="1:31" x14ac:dyDescent="0.3">
      <c r="A30" s="39">
        <v>42155</v>
      </c>
      <c r="B30" s="55">
        <f t="shared" si="0"/>
        <v>13330</v>
      </c>
      <c r="C30" s="56">
        <v>541</v>
      </c>
      <c r="D30" s="57">
        <f t="shared" si="1"/>
        <v>3976</v>
      </c>
      <c r="E30" s="58">
        <v>10</v>
      </c>
      <c r="F30" s="58">
        <v>540</v>
      </c>
      <c r="G30" s="58">
        <v>216</v>
      </c>
      <c r="H30" s="58">
        <v>562</v>
      </c>
      <c r="I30" s="58">
        <v>266</v>
      </c>
      <c r="J30" s="58">
        <v>145</v>
      </c>
      <c r="K30" s="58">
        <v>64</v>
      </c>
      <c r="L30" s="58">
        <v>132</v>
      </c>
      <c r="M30" s="58">
        <v>80</v>
      </c>
      <c r="N30" s="58">
        <v>300</v>
      </c>
      <c r="O30" s="58">
        <v>126</v>
      </c>
      <c r="P30" s="58">
        <v>84</v>
      </c>
      <c r="Q30" s="58">
        <v>254</v>
      </c>
      <c r="R30" s="58">
        <v>82</v>
      </c>
      <c r="S30" s="58">
        <v>1115</v>
      </c>
      <c r="T30" s="57">
        <f t="shared" si="2"/>
        <v>8813</v>
      </c>
      <c r="U30" s="58">
        <v>271</v>
      </c>
      <c r="V30" s="58">
        <v>1946</v>
      </c>
      <c r="W30" s="58">
        <v>293</v>
      </c>
      <c r="X30" s="58">
        <v>1831</v>
      </c>
      <c r="Y30" s="58">
        <v>175</v>
      </c>
      <c r="Z30" s="58">
        <v>57</v>
      </c>
      <c r="AA30" s="58">
        <v>2068</v>
      </c>
      <c r="AB30" s="58">
        <v>492</v>
      </c>
      <c r="AC30" s="58">
        <v>1116</v>
      </c>
      <c r="AD30" s="58">
        <v>564</v>
      </c>
      <c r="AE30" s="58">
        <v>0</v>
      </c>
    </row>
    <row r="31" spans="1:31" x14ac:dyDescent="0.3">
      <c r="A31" s="39">
        <v>42185</v>
      </c>
      <c r="B31" s="55">
        <f t="shared" si="0"/>
        <v>16204</v>
      </c>
      <c r="C31" s="56">
        <v>809</v>
      </c>
      <c r="D31" s="57">
        <f t="shared" si="1"/>
        <v>4325</v>
      </c>
      <c r="E31" s="58">
        <v>30</v>
      </c>
      <c r="F31" s="58">
        <v>536</v>
      </c>
      <c r="G31" s="58">
        <v>342</v>
      </c>
      <c r="H31" s="58">
        <v>721</v>
      </c>
      <c r="I31" s="58">
        <v>234</v>
      </c>
      <c r="J31" s="58">
        <v>107</v>
      </c>
      <c r="K31" s="58">
        <v>92</v>
      </c>
      <c r="L31" s="58">
        <v>96</v>
      </c>
      <c r="M31" s="58">
        <v>112</v>
      </c>
      <c r="N31" s="58">
        <v>306</v>
      </c>
      <c r="O31" s="58">
        <v>176</v>
      </c>
      <c r="P31" s="58">
        <v>62</v>
      </c>
      <c r="Q31" s="58">
        <v>487</v>
      </c>
      <c r="R31" s="58">
        <v>82</v>
      </c>
      <c r="S31" s="58">
        <v>942</v>
      </c>
      <c r="T31" s="57">
        <f t="shared" si="2"/>
        <v>11070</v>
      </c>
      <c r="U31" s="58">
        <v>337</v>
      </c>
      <c r="V31" s="58">
        <v>2167</v>
      </c>
      <c r="W31" s="58">
        <v>319</v>
      </c>
      <c r="X31" s="58">
        <v>2394</v>
      </c>
      <c r="Y31" s="58">
        <v>252</v>
      </c>
      <c r="Z31" s="58">
        <v>135</v>
      </c>
      <c r="AA31" s="58">
        <v>2545</v>
      </c>
      <c r="AB31" s="58">
        <v>797</v>
      </c>
      <c r="AC31" s="58">
        <v>1449</v>
      </c>
      <c r="AD31" s="58">
        <v>675</v>
      </c>
      <c r="AE31" s="58">
        <v>0</v>
      </c>
    </row>
    <row r="32" spans="1:31" x14ac:dyDescent="0.3">
      <c r="A32" s="39">
        <v>42216</v>
      </c>
      <c r="B32" s="55">
        <f t="shared" si="0"/>
        <v>14935</v>
      </c>
      <c r="C32" s="56">
        <v>723</v>
      </c>
      <c r="D32" s="57">
        <f t="shared" si="1"/>
        <v>3977</v>
      </c>
      <c r="E32" s="58">
        <v>29</v>
      </c>
      <c r="F32" s="58">
        <v>640</v>
      </c>
      <c r="G32" s="58">
        <v>435</v>
      </c>
      <c r="H32" s="58">
        <v>453</v>
      </c>
      <c r="I32" s="58">
        <v>197</v>
      </c>
      <c r="J32" s="58">
        <v>60</v>
      </c>
      <c r="K32" s="58">
        <v>62</v>
      </c>
      <c r="L32" s="58">
        <v>116</v>
      </c>
      <c r="M32" s="58">
        <v>74</v>
      </c>
      <c r="N32" s="58">
        <v>365</v>
      </c>
      <c r="O32" s="58">
        <v>113</v>
      </c>
      <c r="P32" s="58">
        <v>101</v>
      </c>
      <c r="Q32" s="58">
        <v>278</v>
      </c>
      <c r="R32" s="58">
        <v>77</v>
      </c>
      <c r="S32" s="58">
        <v>977</v>
      </c>
      <c r="T32" s="57">
        <f t="shared" si="2"/>
        <v>10232</v>
      </c>
      <c r="U32" s="58">
        <v>358</v>
      </c>
      <c r="V32" s="58">
        <v>2080</v>
      </c>
      <c r="W32" s="58">
        <v>316</v>
      </c>
      <c r="X32" s="58">
        <v>1799</v>
      </c>
      <c r="Y32" s="58">
        <v>263</v>
      </c>
      <c r="Z32" s="58">
        <v>113</v>
      </c>
      <c r="AA32" s="58">
        <v>2347</v>
      </c>
      <c r="AB32" s="58">
        <v>1026</v>
      </c>
      <c r="AC32" s="58">
        <v>1272</v>
      </c>
      <c r="AD32" s="58">
        <v>658</v>
      </c>
      <c r="AE32" s="58">
        <v>3</v>
      </c>
    </row>
    <row r="33" spans="1:31" x14ac:dyDescent="0.3">
      <c r="A33" s="39">
        <v>42247</v>
      </c>
      <c r="B33" s="55">
        <f t="shared" si="0"/>
        <v>13183</v>
      </c>
      <c r="C33" s="56">
        <v>1013</v>
      </c>
      <c r="D33" s="57">
        <f t="shared" si="1"/>
        <v>2948</v>
      </c>
      <c r="E33" s="58">
        <v>16</v>
      </c>
      <c r="F33" s="58">
        <v>630</v>
      </c>
      <c r="G33" s="58">
        <v>157</v>
      </c>
      <c r="H33" s="58">
        <v>264</v>
      </c>
      <c r="I33" s="58">
        <v>82</v>
      </c>
      <c r="J33" s="58">
        <v>54</v>
      </c>
      <c r="K33" s="58">
        <v>43</v>
      </c>
      <c r="L33" s="58">
        <v>110</v>
      </c>
      <c r="M33" s="58">
        <v>100</v>
      </c>
      <c r="N33" s="58">
        <v>279</v>
      </c>
      <c r="O33" s="58">
        <v>114</v>
      </c>
      <c r="P33" s="58">
        <v>109</v>
      </c>
      <c r="Q33" s="58">
        <v>224</v>
      </c>
      <c r="R33" s="58">
        <v>70</v>
      </c>
      <c r="S33" s="58">
        <v>696</v>
      </c>
      <c r="T33" s="57">
        <f t="shared" si="2"/>
        <v>9222</v>
      </c>
      <c r="U33" s="58">
        <v>268</v>
      </c>
      <c r="V33" s="58">
        <v>1952</v>
      </c>
      <c r="W33" s="58">
        <v>265</v>
      </c>
      <c r="X33" s="58">
        <v>1246</v>
      </c>
      <c r="Y33" s="58">
        <v>230</v>
      </c>
      <c r="Z33" s="58">
        <v>88</v>
      </c>
      <c r="AA33" s="58">
        <v>2949</v>
      </c>
      <c r="AB33" s="58">
        <v>632</v>
      </c>
      <c r="AC33" s="58">
        <v>1119</v>
      </c>
      <c r="AD33" s="58">
        <v>473</v>
      </c>
      <c r="AE33" s="58">
        <v>0</v>
      </c>
    </row>
    <row r="34" spans="1:31" x14ac:dyDescent="0.3">
      <c r="A34" s="39">
        <v>42277</v>
      </c>
      <c r="B34" s="55">
        <f t="shared" ref="B34:B65" si="3">C34+D34+T34+AE34</f>
        <v>16659</v>
      </c>
      <c r="C34" s="56">
        <v>582</v>
      </c>
      <c r="D34" s="57">
        <f t="shared" ref="D34:D65" si="4">SUM(E34:S34)</f>
        <v>4337</v>
      </c>
      <c r="E34" s="58">
        <v>27</v>
      </c>
      <c r="F34" s="58">
        <v>508</v>
      </c>
      <c r="G34" s="58">
        <v>262</v>
      </c>
      <c r="H34" s="58">
        <v>877</v>
      </c>
      <c r="I34" s="58">
        <v>232</v>
      </c>
      <c r="J34" s="58">
        <v>102</v>
      </c>
      <c r="K34" s="58">
        <v>69</v>
      </c>
      <c r="L34" s="58">
        <v>140</v>
      </c>
      <c r="M34" s="58">
        <v>129</v>
      </c>
      <c r="N34" s="58">
        <v>387</v>
      </c>
      <c r="O34" s="58">
        <v>158</v>
      </c>
      <c r="P34" s="58">
        <v>86</v>
      </c>
      <c r="Q34" s="58">
        <v>359</v>
      </c>
      <c r="R34" s="58">
        <v>85</v>
      </c>
      <c r="S34" s="58">
        <v>916</v>
      </c>
      <c r="T34" s="57">
        <f t="shared" ref="T34:T65" si="5">SUM(U34:AD34)</f>
        <v>11739</v>
      </c>
      <c r="U34" s="58">
        <v>352</v>
      </c>
      <c r="V34" s="58">
        <v>2051</v>
      </c>
      <c r="W34" s="58">
        <v>304</v>
      </c>
      <c r="X34" s="58">
        <v>2372</v>
      </c>
      <c r="Y34" s="58">
        <v>324</v>
      </c>
      <c r="Z34" s="58">
        <v>101</v>
      </c>
      <c r="AA34" s="58">
        <v>2521</v>
      </c>
      <c r="AB34" s="58">
        <v>1119</v>
      </c>
      <c r="AC34" s="58">
        <v>1829</v>
      </c>
      <c r="AD34" s="58">
        <v>766</v>
      </c>
      <c r="AE34" s="58">
        <v>1</v>
      </c>
    </row>
    <row r="35" spans="1:31" x14ac:dyDescent="0.3">
      <c r="A35" s="39">
        <v>42307</v>
      </c>
      <c r="B35" s="55">
        <f t="shared" si="3"/>
        <v>15786</v>
      </c>
      <c r="C35" s="56">
        <v>954</v>
      </c>
      <c r="D35" s="57">
        <f t="shared" si="4"/>
        <v>4149</v>
      </c>
      <c r="E35" s="58">
        <v>45</v>
      </c>
      <c r="F35" s="58">
        <v>468</v>
      </c>
      <c r="G35" s="58">
        <v>265</v>
      </c>
      <c r="H35" s="58">
        <v>724</v>
      </c>
      <c r="I35" s="58">
        <v>187</v>
      </c>
      <c r="J35" s="58">
        <v>99</v>
      </c>
      <c r="K35" s="58">
        <v>87</v>
      </c>
      <c r="L35" s="58">
        <v>141</v>
      </c>
      <c r="M35" s="58">
        <v>125</v>
      </c>
      <c r="N35" s="58">
        <v>348</v>
      </c>
      <c r="O35" s="58">
        <v>127</v>
      </c>
      <c r="P35" s="58">
        <v>62</v>
      </c>
      <c r="Q35" s="58">
        <v>416</v>
      </c>
      <c r="R35" s="58">
        <v>68</v>
      </c>
      <c r="S35" s="58">
        <v>987</v>
      </c>
      <c r="T35" s="57">
        <f t="shared" si="5"/>
        <v>10673</v>
      </c>
      <c r="U35" s="58">
        <v>375</v>
      </c>
      <c r="V35" s="58">
        <v>2274</v>
      </c>
      <c r="W35" s="58">
        <v>294</v>
      </c>
      <c r="X35" s="58">
        <v>1551</v>
      </c>
      <c r="Y35" s="58">
        <v>341</v>
      </c>
      <c r="Z35" s="58">
        <v>86</v>
      </c>
      <c r="AA35" s="58">
        <v>2376</v>
      </c>
      <c r="AB35" s="58">
        <v>916</v>
      </c>
      <c r="AC35" s="58">
        <v>1681</v>
      </c>
      <c r="AD35" s="58">
        <v>779</v>
      </c>
      <c r="AE35" s="58">
        <v>10</v>
      </c>
    </row>
    <row r="36" spans="1:31" x14ac:dyDescent="0.3">
      <c r="A36" s="39">
        <v>42338</v>
      </c>
      <c r="B36" s="55">
        <f t="shared" si="3"/>
        <v>12949</v>
      </c>
      <c r="C36" s="56">
        <v>1046</v>
      </c>
      <c r="D36" s="57">
        <f t="shared" si="4"/>
        <v>3403</v>
      </c>
      <c r="E36" s="58">
        <v>15</v>
      </c>
      <c r="F36" s="58">
        <v>462</v>
      </c>
      <c r="G36" s="58">
        <v>274</v>
      </c>
      <c r="H36" s="58">
        <v>611</v>
      </c>
      <c r="I36" s="58">
        <v>204</v>
      </c>
      <c r="J36" s="58">
        <v>97</v>
      </c>
      <c r="K36" s="58">
        <v>65</v>
      </c>
      <c r="L36" s="58">
        <v>101</v>
      </c>
      <c r="M36" s="58">
        <v>91</v>
      </c>
      <c r="N36" s="58">
        <v>289</v>
      </c>
      <c r="O36" s="58">
        <v>107</v>
      </c>
      <c r="P36" s="58">
        <v>24</v>
      </c>
      <c r="Q36" s="58">
        <v>222</v>
      </c>
      <c r="R36" s="58">
        <v>67</v>
      </c>
      <c r="S36" s="58">
        <v>774</v>
      </c>
      <c r="T36" s="57">
        <f t="shared" si="5"/>
        <v>8499</v>
      </c>
      <c r="U36" s="58">
        <v>264</v>
      </c>
      <c r="V36" s="58">
        <v>1900</v>
      </c>
      <c r="W36" s="58">
        <v>269</v>
      </c>
      <c r="X36" s="58">
        <v>1209</v>
      </c>
      <c r="Y36" s="58">
        <v>296</v>
      </c>
      <c r="Z36" s="58">
        <v>89</v>
      </c>
      <c r="AA36" s="58">
        <v>1800</v>
      </c>
      <c r="AB36" s="58">
        <v>724</v>
      </c>
      <c r="AC36" s="58">
        <v>1326</v>
      </c>
      <c r="AD36" s="58">
        <v>622</v>
      </c>
      <c r="AE36" s="58">
        <v>1</v>
      </c>
    </row>
    <row r="37" spans="1:31" x14ac:dyDescent="0.3">
      <c r="A37" s="39">
        <v>42369</v>
      </c>
      <c r="B37" s="55">
        <f t="shared" si="3"/>
        <v>10228</v>
      </c>
      <c r="C37" s="56">
        <v>828</v>
      </c>
      <c r="D37" s="57">
        <f t="shared" si="4"/>
        <v>2453</v>
      </c>
      <c r="E37" s="58">
        <v>10</v>
      </c>
      <c r="F37" s="58">
        <v>294</v>
      </c>
      <c r="G37" s="58">
        <v>139</v>
      </c>
      <c r="H37" s="58">
        <v>297</v>
      </c>
      <c r="I37" s="58">
        <v>139</v>
      </c>
      <c r="J37" s="58">
        <v>69</v>
      </c>
      <c r="K37" s="58">
        <v>65</v>
      </c>
      <c r="L37" s="58">
        <v>67</v>
      </c>
      <c r="M37" s="58">
        <v>76</v>
      </c>
      <c r="N37" s="58">
        <v>214</v>
      </c>
      <c r="O37" s="58">
        <v>76</v>
      </c>
      <c r="P37" s="58">
        <v>103</v>
      </c>
      <c r="Q37" s="58">
        <v>286</v>
      </c>
      <c r="R37" s="58">
        <v>39</v>
      </c>
      <c r="S37" s="58">
        <v>579</v>
      </c>
      <c r="T37" s="57">
        <f t="shared" si="5"/>
        <v>6947</v>
      </c>
      <c r="U37" s="58">
        <v>237</v>
      </c>
      <c r="V37" s="58">
        <v>1482</v>
      </c>
      <c r="W37" s="58">
        <v>177</v>
      </c>
      <c r="X37" s="58">
        <v>993</v>
      </c>
      <c r="Y37" s="58">
        <v>219</v>
      </c>
      <c r="Z37" s="58">
        <v>57</v>
      </c>
      <c r="AA37" s="58">
        <v>1559</v>
      </c>
      <c r="AB37" s="58">
        <v>655</v>
      </c>
      <c r="AC37" s="58">
        <v>1095</v>
      </c>
      <c r="AD37" s="58">
        <v>473</v>
      </c>
      <c r="AE37" s="58">
        <v>0</v>
      </c>
    </row>
    <row r="38" spans="1:31" x14ac:dyDescent="0.3">
      <c r="A38" s="39">
        <v>42400</v>
      </c>
      <c r="B38" s="59">
        <f t="shared" si="3"/>
        <v>15240</v>
      </c>
      <c r="C38" s="60">
        <v>1108</v>
      </c>
      <c r="D38" s="15">
        <f t="shared" si="4"/>
        <v>3904</v>
      </c>
      <c r="E38" s="61">
        <v>22</v>
      </c>
      <c r="F38" s="61">
        <v>530</v>
      </c>
      <c r="G38" s="61">
        <v>216</v>
      </c>
      <c r="H38" s="61">
        <v>732</v>
      </c>
      <c r="I38" s="61">
        <v>224</v>
      </c>
      <c r="J38" s="61">
        <v>78</v>
      </c>
      <c r="K38" s="61">
        <v>75</v>
      </c>
      <c r="L38" s="61">
        <v>192</v>
      </c>
      <c r="M38" s="61">
        <v>117</v>
      </c>
      <c r="N38" s="61">
        <v>389</v>
      </c>
      <c r="O38" s="61">
        <v>138</v>
      </c>
      <c r="P38" s="61">
        <v>81</v>
      </c>
      <c r="Q38" s="61">
        <v>284</v>
      </c>
      <c r="R38" s="61">
        <v>64</v>
      </c>
      <c r="S38" s="61">
        <v>762</v>
      </c>
      <c r="T38" s="15">
        <f t="shared" si="5"/>
        <v>10228</v>
      </c>
      <c r="U38" s="61">
        <v>353</v>
      </c>
      <c r="V38" s="61">
        <v>1879</v>
      </c>
      <c r="W38" s="61">
        <v>289</v>
      </c>
      <c r="X38" s="61">
        <v>1292</v>
      </c>
      <c r="Y38" s="61">
        <v>294</v>
      </c>
      <c r="Z38" s="61">
        <v>83</v>
      </c>
      <c r="AA38" s="61">
        <v>3476</v>
      </c>
      <c r="AB38" s="61">
        <v>794</v>
      </c>
      <c r="AC38" s="61">
        <v>1203</v>
      </c>
      <c r="AD38" s="61">
        <v>565</v>
      </c>
      <c r="AE38" s="61">
        <v>0</v>
      </c>
    </row>
    <row r="39" spans="1:31" x14ac:dyDescent="0.3">
      <c r="A39" s="39">
        <v>42428</v>
      </c>
      <c r="B39" s="59">
        <f t="shared" si="3"/>
        <v>15229</v>
      </c>
      <c r="C39" s="60">
        <v>952</v>
      </c>
      <c r="D39" s="15">
        <f t="shared" si="4"/>
        <v>4441</v>
      </c>
      <c r="E39" s="61">
        <v>17</v>
      </c>
      <c r="F39" s="61">
        <v>419</v>
      </c>
      <c r="G39" s="61">
        <v>241</v>
      </c>
      <c r="H39" s="61">
        <v>1121</v>
      </c>
      <c r="I39" s="61">
        <v>271</v>
      </c>
      <c r="J39" s="61">
        <v>76</v>
      </c>
      <c r="K39" s="61">
        <v>65</v>
      </c>
      <c r="L39" s="61">
        <v>156</v>
      </c>
      <c r="M39" s="61">
        <v>112</v>
      </c>
      <c r="N39" s="61">
        <v>316</v>
      </c>
      <c r="O39" s="61">
        <v>171</v>
      </c>
      <c r="P39" s="61">
        <v>119</v>
      </c>
      <c r="Q39" s="61">
        <v>476</v>
      </c>
      <c r="R39" s="61">
        <v>66</v>
      </c>
      <c r="S39" s="61">
        <v>815</v>
      </c>
      <c r="T39" s="15">
        <f t="shared" si="5"/>
        <v>9836</v>
      </c>
      <c r="U39" s="61">
        <v>362</v>
      </c>
      <c r="V39" s="61">
        <v>2093</v>
      </c>
      <c r="W39" s="61">
        <v>293</v>
      </c>
      <c r="X39" s="61">
        <v>1824</v>
      </c>
      <c r="Y39" s="61">
        <v>274</v>
      </c>
      <c r="Z39" s="61">
        <v>57</v>
      </c>
      <c r="AA39" s="61">
        <v>2219</v>
      </c>
      <c r="AB39" s="61">
        <v>829</v>
      </c>
      <c r="AC39" s="61">
        <v>1269</v>
      </c>
      <c r="AD39" s="61">
        <v>616</v>
      </c>
      <c r="AE39" s="61">
        <v>0</v>
      </c>
    </row>
    <row r="40" spans="1:31" x14ac:dyDescent="0.3">
      <c r="A40" s="39">
        <v>42460</v>
      </c>
      <c r="B40" s="59">
        <f t="shared" si="3"/>
        <v>15914</v>
      </c>
      <c r="C40" s="60">
        <v>704</v>
      </c>
      <c r="D40" s="15">
        <f t="shared" si="4"/>
        <v>3944</v>
      </c>
      <c r="E40" s="61">
        <v>31</v>
      </c>
      <c r="F40" s="61">
        <v>437</v>
      </c>
      <c r="G40" s="61">
        <v>225</v>
      </c>
      <c r="H40" s="61">
        <v>532</v>
      </c>
      <c r="I40" s="61">
        <v>261</v>
      </c>
      <c r="J40" s="61">
        <v>89</v>
      </c>
      <c r="K40" s="61">
        <v>83</v>
      </c>
      <c r="L40" s="61">
        <v>157</v>
      </c>
      <c r="M40" s="61">
        <v>158</v>
      </c>
      <c r="N40" s="61">
        <v>315</v>
      </c>
      <c r="O40" s="61">
        <v>131</v>
      </c>
      <c r="P40" s="61">
        <v>76</v>
      </c>
      <c r="Q40" s="61">
        <v>393</v>
      </c>
      <c r="R40" s="61">
        <v>57</v>
      </c>
      <c r="S40" s="61">
        <v>999</v>
      </c>
      <c r="T40" s="15">
        <f t="shared" si="5"/>
        <v>11266</v>
      </c>
      <c r="U40" s="61">
        <v>340</v>
      </c>
      <c r="V40" s="61">
        <v>2321</v>
      </c>
      <c r="W40" s="61">
        <v>406</v>
      </c>
      <c r="X40" s="61">
        <v>2395</v>
      </c>
      <c r="Y40" s="61">
        <v>286</v>
      </c>
      <c r="Z40" s="61">
        <v>66</v>
      </c>
      <c r="AA40" s="61">
        <v>2399</v>
      </c>
      <c r="AB40" s="61">
        <v>972</v>
      </c>
      <c r="AC40" s="61">
        <v>1346</v>
      </c>
      <c r="AD40" s="61">
        <v>735</v>
      </c>
      <c r="AE40" s="61">
        <v>0</v>
      </c>
    </row>
    <row r="41" spans="1:31" x14ac:dyDescent="0.3">
      <c r="A41" s="39">
        <v>42490</v>
      </c>
      <c r="B41" s="59">
        <f t="shared" si="3"/>
        <v>13838</v>
      </c>
      <c r="C41" s="60">
        <v>676</v>
      </c>
      <c r="D41" s="15">
        <f t="shared" si="4"/>
        <v>3438</v>
      </c>
      <c r="E41" s="61">
        <v>26</v>
      </c>
      <c r="F41" s="61">
        <v>455</v>
      </c>
      <c r="G41" s="61">
        <v>184</v>
      </c>
      <c r="H41" s="61">
        <v>586</v>
      </c>
      <c r="I41" s="61">
        <v>185</v>
      </c>
      <c r="J41" s="61">
        <v>106</v>
      </c>
      <c r="K41" s="61">
        <v>87</v>
      </c>
      <c r="L41" s="61">
        <v>99</v>
      </c>
      <c r="M41" s="61">
        <v>98</v>
      </c>
      <c r="N41" s="61">
        <v>286</v>
      </c>
      <c r="O41" s="61">
        <v>134</v>
      </c>
      <c r="P41" s="61">
        <v>82</v>
      </c>
      <c r="Q41" s="61">
        <v>311</v>
      </c>
      <c r="R41" s="61">
        <v>93</v>
      </c>
      <c r="S41" s="61">
        <v>706</v>
      </c>
      <c r="T41" s="15">
        <f t="shared" si="5"/>
        <v>9723</v>
      </c>
      <c r="U41" s="61">
        <v>267</v>
      </c>
      <c r="V41" s="61">
        <v>1863</v>
      </c>
      <c r="W41" s="61">
        <v>332</v>
      </c>
      <c r="X41" s="61">
        <v>2367</v>
      </c>
      <c r="Y41" s="61">
        <v>232</v>
      </c>
      <c r="Z41" s="61">
        <v>53</v>
      </c>
      <c r="AA41" s="61">
        <v>2141</v>
      </c>
      <c r="AB41" s="61">
        <v>680</v>
      </c>
      <c r="AC41" s="61">
        <v>1108</v>
      </c>
      <c r="AD41" s="61">
        <v>680</v>
      </c>
      <c r="AE41" s="61">
        <v>1</v>
      </c>
    </row>
    <row r="42" spans="1:31" x14ac:dyDescent="0.3">
      <c r="A42" s="39">
        <v>42521</v>
      </c>
      <c r="B42" s="59">
        <f t="shared" si="3"/>
        <v>16365</v>
      </c>
      <c r="C42" s="60">
        <v>1218</v>
      </c>
      <c r="D42" s="15">
        <f t="shared" si="4"/>
        <v>3910</v>
      </c>
      <c r="E42" s="61">
        <v>21</v>
      </c>
      <c r="F42" s="61">
        <v>544</v>
      </c>
      <c r="G42" s="61">
        <v>215</v>
      </c>
      <c r="H42" s="61">
        <v>561</v>
      </c>
      <c r="I42" s="61">
        <v>254</v>
      </c>
      <c r="J42" s="61">
        <v>96</v>
      </c>
      <c r="K42" s="61">
        <v>65</v>
      </c>
      <c r="L42" s="61">
        <v>97</v>
      </c>
      <c r="M42" s="61">
        <v>89</v>
      </c>
      <c r="N42" s="61">
        <v>291</v>
      </c>
      <c r="O42" s="61">
        <v>148</v>
      </c>
      <c r="P42" s="61">
        <v>105</v>
      </c>
      <c r="Q42" s="61">
        <v>336</v>
      </c>
      <c r="R42" s="61">
        <v>67</v>
      </c>
      <c r="S42" s="61">
        <v>1021</v>
      </c>
      <c r="T42" s="15">
        <f t="shared" si="5"/>
        <v>11237</v>
      </c>
      <c r="U42" s="61">
        <v>315</v>
      </c>
      <c r="V42" s="61">
        <v>2263</v>
      </c>
      <c r="W42" s="61">
        <v>314</v>
      </c>
      <c r="X42" s="61">
        <v>2531</v>
      </c>
      <c r="Y42" s="61">
        <v>291</v>
      </c>
      <c r="Z42" s="61">
        <v>59</v>
      </c>
      <c r="AA42" s="61">
        <v>2620</v>
      </c>
      <c r="AB42" s="61">
        <v>728</v>
      </c>
      <c r="AC42" s="61">
        <v>1452</v>
      </c>
      <c r="AD42" s="61">
        <v>664</v>
      </c>
      <c r="AE42" s="61">
        <v>0</v>
      </c>
    </row>
    <row r="43" spans="1:31" x14ac:dyDescent="0.3">
      <c r="A43" s="39">
        <v>42551</v>
      </c>
      <c r="B43" s="59">
        <f t="shared" si="3"/>
        <v>15713</v>
      </c>
      <c r="C43" s="60">
        <v>542</v>
      </c>
      <c r="D43" s="15">
        <f t="shared" si="4"/>
        <v>3957</v>
      </c>
      <c r="E43" s="61">
        <v>19</v>
      </c>
      <c r="F43" s="61">
        <v>534</v>
      </c>
      <c r="G43" s="61">
        <v>173</v>
      </c>
      <c r="H43" s="61">
        <v>536</v>
      </c>
      <c r="I43" s="61">
        <v>213</v>
      </c>
      <c r="J43" s="61">
        <v>88</v>
      </c>
      <c r="K43" s="61">
        <v>66</v>
      </c>
      <c r="L43" s="61">
        <v>122</v>
      </c>
      <c r="M43" s="61">
        <v>83</v>
      </c>
      <c r="N43" s="61">
        <v>337</v>
      </c>
      <c r="O43" s="61">
        <v>127</v>
      </c>
      <c r="P43" s="61">
        <v>70</v>
      </c>
      <c r="Q43" s="61">
        <v>344</v>
      </c>
      <c r="R43" s="61">
        <v>146</v>
      </c>
      <c r="S43" s="61">
        <v>1099</v>
      </c>
      <c r="T43" s="15">
        <f t="shared" si="5"/>
        <v>11214</v>
      </c>
      <c r="U43" s="61">
        <v>368</v>
      </c>
      <c r="V43" s="61">
        <v>2317</v>
      </c>
      <c r="W43" s="61">
        <v>423</v>
      </c>
      <c r="X43" s="61">
        <v>2069</v>
      </c>
      <c r="Y43" s="61">
        <v>243</v>
      </c>
      <c r="Z43" s="61">
        <v>99</v>
      </c>
      <c r="AA43" s="61">
        <v>2662</v>
      </c>
      <c r="AB43" s="61">
        <v>987</v>
      </c>
      <c r="AC43" s="61">
        <v>1364</v>
      </c>
      <c r="AD43" s="61">
        <v>682</v>
      </c>
      <c r="AE43" s="61">
        <v>0</v>
      </c>
    </row>
    <row r="44" spans="1:31" x14ac:dyDescent="0.3">
      <c r="A44" s="39">
        <v>42582</v>
      </c>
      <c r="B44" s="59">
        <f t="shared" si="3"/>
        <v>11576</v>
      </c>
      <c r="C44" s="60">
        <v>413</v>
      </c>
      <c r="D44" s="15">
        <f t="shared" si="4"/>
        <v>2941</v>
      </c>
      <c r="E44" s="61">
        <v>22</v>
      </c>
      <c r="F44" s="61">
        <v>421</v>
      </c>
      <c r="G44" s="61">
        <v>112</v>
      </c>
      <c r="H44" s="61">
        <v>283</v>
      </c>
      <c r="I44" s="61">
        <v>170</v>
      </c>
      <c r="J44" s="61">
        <v>71</v>
      </c>
      <c r="K44" s="61">
        <v>65</v>
      </c>
      <c r="L44" s="61">
        <v>67</v>
      </c>
      <c r="M44" s="61">
        <v>71</v>
      </c>
      <c r="N44" s="61">
        <v>249</v>
      </c>
      <c r="O44" s="61">
        <v>114</v>
      </c>
      <c r="P44" s="61">
        <v>65</v>
      </c>
      <c r="Q44" s="61">
        <v>225</v>
      </c>
      <c r="R44" s="61">
        <v>100</v>
      </c>
      <c r="S44" s="61">
        <v>906</v>
      </c>
      <c r="T44" s="15">
        <f t="shared" si="5"/>
        <v>8221</v>
      </c>
      <c r="U44" s="61">
        <v>291</v>
      </c>
      <c r="V44" s="61">
        <v>1591</v>
      </c>
      <c r="W44" s="61">
        <v>296</v>
      </c>
      <c r="X44" s="61">
        <v>1328</v>
      </c>
      <c r="Y44" s="61">
        <v>311</v>
      </c>
      <c r="Z44" s="61">
        <v>45</v>
      </c>
      <c r="AA44" s="61">
        <v>2019</v>
      </c>
      <c r="AB44" s="61">
        <v>744</v>
      </c>
      <c r="AC44" s="61">
        <v>1047</v>
      </c>
      <c r="AD44" s="61">
        <v>549</v>
      </c>
      <c r="AE44" s="61">
        <v>1</v>
      </c>
    </row>
    <row r="45" spans="1:31" x14ac:dyDescent="0.3">
      <c r="A45" s="39">
        <v>42613</v>
      </c>
      <c r="B45" s="59">
        <f t="shared" si="3"/>
        <v>9195</v>
      </c>
      <c r="C45" s="60">
        <v>568</v>
      </c>
      <c r="D45" s="15">
        <f t="shared" si="4"/>
        <v>2160</v>
      </c>
      <c r="E45" s="61">
        <v>10</v>
      </c>
      <c r="F45" s="61">
        <v>679</v>
      </c>
      <c r="G45" s="61">
        <v>41</v>
      </c>
      <c r="H45" s="61">
        <v>111</v>
      </c>
      <c r="I45" s="61">
        <v>54</v>
      </c>
      <c r="J45" s="61">
        <v>54</v>
      </c>
      <c r="K45" s="61">
        <v>7</v>
      </c>
      <c r="L45" s="61">
        <v>48</v>
      </c>
      <c r="M45" s="61">
        <v>35</v>
      </c>
      <c r="N45" s="61">
        <v>169</v>
      </c>
      <c r="O45" s="61">
        <v>83</v>
      </c>
      <c r="P45" s="61">
        <v>39</v>
      </c>
      <c r="Q45" s="61">
        <v>122</v>
      </c>
      <c r="R45" s="61">
        <v>91</v>
      </c>
      <c r="S45" s="61">
        <v>617</v>
      </c>
      <c r="T45" s="15">
        <f t="shared" si="5"/>
        <v>6467</v>
      </c>
      <c r="U45" s="61">
        <v>133</v>
      </c>
      <c r="V45" s="61">
        <v>1013</v>
      </c>
      <c r="W45" s="61">
        <v>175</v>
      </c>
      <c r="X45" s="61">
        <v>826</v>
      </c>
      <c r="Y45" s="61">
        <v>88</v>
      </c>
      <c r="Z45" s="61">
        <v>16</v>
      </c>
      <c r="AA45" s="61">
        <v>3211</v>
      </c>
      <c r="AB45" s="61">
        <v>318</v>
      </c>
      <c r="AC45" s="61">
        <v>462</v>
      </c>
      <c r="AD45" s="61">
        <v>225</v>
      </c>
      <c r="AE45" s="61">
        <v>0</v>
      </c>
    </row>
    <row r="46" spans="1:31" x14ac:dyDescent="0.3">
      <c r="A46" s="39">
        <v>42643</v>
      </c>
      <c r="B46" s="59">
        <f t="shared" si="3"/>
        <v>10740</v>
      </c>
      <c r="C46" s="60">
        <v>461</v>
      </c>
      <c r="D46" s="15">
        <f t="shared" si="4"/>
        <v>2852</v>
      </c>
      <c r="E46" s="61">
        <v>17</v>
      </c>
      <c r="F46" s="61">
        <v>396</v>
      </c>
      <c r="G46" s="61">
        <v>133</v>
      </c>
      <c r="H46" s="61">
        <v>383</v>
      </c>
      <c r="I46" s="61">
        <v>144</v>
      </c>
      <c r="J46" s="61">
        <v>67</v>
      </c>
      <c r="K46" s="61">
        <v>27</v>
      </c>
      <c r="L46" s="61">
        <v>82</v>
      </c>
      <c r="M46" s="61">
        <v>81</v>
      </c>
      <c r="N46" s="61">
        <v>231</v>
      </c>
      <c r="O46" s="61">
        <v>111</v>
      </c>
      <c r="P46" s="61">
        <v>18</v>
      </c>
      <c r="Q46" s="61">
        <v>145</v>
      </c>
      <c r="R46" s="61">
        <v>62</v>
      </c>
      <c r="S46" s="61">
        <v>955</v>
      </c>
      <c r="T46" s="15">
        <f t="shared" si="5"/>
        <v>7427</v>
      </c>
      <c r="U46" s="61">
        <v>181</v>
      </c>
      <c r="V46" s="61">
        <v>1138</v>
      </c>
      <c r="W46" s="61">
        <v>148</v>
      </c>
      <c r="X46" s="61">
        <v>1918</v>
      </c>
      <c r="Y46" s="61">
        <v>88</v>
      </c>
      <c r="Z46" s="61">
        <v>41</v>
      </c>
      <c r="AA46" s="61">
        <v>2553</v>
      </c>
      <c r="AB46" s="61">
        <v>283</v>
      </c>
      <c r="AC46" s="61">
        <v>797</v>
      </c>
      <c r="AD46" s="61">
        <v>280</v>
      </c>
      <c r="AE46" s="61">
        <v>0</v>
      </c>
    </row>
    <row r="47" spans="1:31" x14ac:dyDescent="0.3">
      <c r="A47" s="39">
        <v>42673</v>
      </c>
      <c r="B47" s="59">
        <f t="shared" si="3"/>
        <v>9116</v>
      </c>
      <c r="C47" s="60">
        <v>528</v>
      </c>
      <c r="D47" s="15">
        <f t="shared" si="4"/>
        <v>2649</v>
      </c>
      <c r="E47" s="61">
        <v>25</v>
      </c>
      <c r="F47" s="61">
        <v>335</v>
      </c>
      <c r="G47" s="61">
        <v>108</v>
      </c>
      <c r="H47" s="61">
        <v>357</v>
      </c>
      <c r="I47" s="61">
        <v>201</v>
      </c>
      <c r="J47" s="61">
        <v>58</v>
      </c>
      <c r="K47" s="61">
        <v>32</v>
      </c>
      <c r="L47" s="61">
        <v>46</v>
      </c>
      <c r="M47" s="61">
        <v>64</v>
      </c>
      <c r="N47" s="61">
        <v>226</v>
      </c>
      <c r="O47" s="61">
        <v>82</v>
      </c>
      <c r="P47" s="61">
        <v>87</v>
      </c>
      <c r="Q47" s="61">
        <v>156</v>
      </c>
      <c r="R47" s="61">
        <v>62</v>
      </c>
      <c r="S47" s="61">
        <v>810</v>
      </c>
      <c r="T47" s="15">
        <f t="shared" si="5"/>
        <v>5938</v>
      </c>
      <c r="U47" s="61">
        <v>178</v>
      </c>
      <c r="V47" s="61">
        <v>936</v>
      </c>
      <c r="W47" s="61">
        <v>188</v>
      </c>
      <c r="X47" s="61">
        <v>822</v>
      </c>
      <c r="Y47" s="61">
        <v>80</v>
      </c>
      <c r="Z47" s="61">
        <v>21</v>
      </c>
      <c r="AA47" s="61">
        <v>2434</v>
      </c>
      <c r="AB47" s="61">
        <v>306</v>
      </c>
      <c r="AC47" s="61">
        <v>737</v>
      </c>
      <c r="AD47" s="61">
        <v>236</v>
      </c>
      <c r="AE47" s="61">
        <v>1</v>
      </c>
    </row>
    <row r="48" spans="1:31" x14ac:dyDescent="0.3">
      <c r="A48" s="39">
        <v>42704</v>
      </c>
      <c r="B48" s="59">
        <f t="shared" si="3"/>
        <v>7954</v>
      </c>
      <c r="C48" s="60">
        <v>582</v>
      </c>
      <c r="D48" s="15">
        <f t="shared" si="4"/>
        <v>2379</v>
      </c>
      <c r="E48" s="61">
        <v>14</v>
      </c>
      <c r="F48" s="61">
        <v>296</v>
      </c>
      <c r="G48" s="61">
        <v>111</v>
      </c>
      <c r="H48" s="61">
        <v>288</v>
      </c>
      <c r="I48" s="61">
        <v>148</v>
      </c>
      <c r="J48" s="61">
        <v>68</v>
      </c>
      <c r="K48" s="61">
        <v>27</v>
      </c>
      <c r="L48" s="61">
        <v>56</v>
      </c>
      <c r="M48" s="61">
        <v>78</v>
      </c>
      <c r="N48" s="61">
        <v>237</v>
      </c>
      <c r="O48" s="61">
        <v>65</v>
      </c>
      <c r="P48" s="61">
        <v>88</v>
      </c>
      <c r="Q48" s="61">
        <v>152</v>
      </c>
      <c r="R48" s="61">
        <v>45</v>
      </c>
      <c r="S48" s="61">
        <v>706</v>
      </c>
      <c r="T48" s="15">
        <f t="shared" si="5"/>
        <v>4993</v>
      </c>
      <c r="U48" s="61">
        <v>125</v>
      </c>
      <c r="V48" s="61">
        <v>1003</v>
      </c>
      <c r="W48" s="61">
        <v>231</v>
      </c>
      <c r="X48" s="61">
        <v>626</v>
      </c>
      <c r="Y48" s="61">
        <v>135</v>
      </c>
      <c r="Z48" s="61">
        <v>11</v>
      </c>
      <c r="AA48" s="61">
        <v>1831</v>
      </c>
      <c r="AB48" s="61">
        <v>267</v>
      </c>
      <c r="AC48" s="61">
        <v>554</v>
      </c>
      <c r="AD48" s="61">
        <v>210</v>
      </c>
      <c r="AE48" s="61">
        <v>0</v>
      </c>
    </row>
    <row r="49" spans="1:31" x14ac:dyDescent="0.3">
      <c r="A49" s="39">
        <v>42735</v>
      </c>
      <c r="B49" s="59">
        <f t="shared" si="3"/>
        <v>5762</v>
      </c>
      <c r="C49" s="60">
        <v>672</v>
      </c>
      <c r="D49" s="15">
        <f t="shared" si="4"/>
        <v>1313</v>
      </c>
      <c r="E49" s="61">
        <v>3</v>
      </c>
      <c r="F49" s="61">
        <v>195</v>
      </c>
      <c r="G49" s="61">
        <v>50</v>
      </c>
      <c r="H49" s="61">
        <v>123</v>
      </c>
      <c r="I49" s="61">
        <v>60</v>
      </c>
      <c r="J49" s="61">
        <v>37</v>
      </c>
      <c r="K49" s="61">
        <v>15</v>
      </c>
      <c r="L49" s="61">
        <v>41</v>
      </c>
      <c r="M49" s="61">
        <v>64</v>
      </c>
      <c r="N49" s="61">
        <v>110</v>
      </c>
      <c r="O49" s="61">
        <v>48</v>
      </c>
      <c r="P49" s="61">
        <v>39</v>
      </c>
      <c r="Q49" s="61">
        <v>104</v>
      </c>
      <c r="R49" s="61">
        <v>19</v>
      </c>
      <c r="S49" s="61">
        <v>405</v>
      </c>
      <c r="T49" s="15">
        <f t="shared" si="5"/>
        <v>3777</v>
      </c>
      <c r="U49" s="61">
        <v>107</v>
      </c>
      <c r="V49" s="61">
        <v>625</v>
      </c>
      <c r="W49" s="61">
        <v>81</v>
      </c>
      <c r="X49" s="61">
        <v>501</v>
      </c>
      <c r="Y49" s="61">
        <v>79</v>
      </c>
      <c r="Z49" s="61">
        <v>8</v>
      </c>
      <c r="AA49" s="61">
        <v>1501</v>
      </c>
      <c r="AB49" s="61">
        <v>227</v>
      </c>
      <c r="AC49" s="61">
        <v>486</v>
      </c>
      <c r="AD49" s="61">
        <v>162</v>
      </c>
      <c r="AE49" s="61">
        <v>0</v>
      </c>
    </row>
    <row r="50" spans="1:31" x14ac:dyDescent="0.3">
      <c r="A50" s="39">
        <v>42766</v>
      </c>
      <c r="B50" s="62">
        <f t="shared" si="3"/>
        <v>10805</v>
      </c>
      <c r="C50" s="63">
        <v>956</v>
      </c>
      <c r="D50" s="57">
        <f t="shared" si="4"/>
        <v>2824</v>
      </c>
      <c r="E50" s="17">
        <v>26</v>
      </c>
      <c r="F50" s="17">
        <v>437</v>
      </c>
      <c r="G50" s="17">
        <v>100</v>
      </c>
      <c r="H50" s="17">
        <v>406</v>
      </c>
      <c r="I50" s="17">
        <v>175</v>
      </c>
      <c r="J50" s="17">
        <v>68</v>
      </c>
      <c r="K50" s="17">
        <v>45</v>
      </c>
      <c r="L50" s="17">
        <v>102</v>
      </c>
      <c r="M50" s="17">
        <v>104</v>
      </c>
      <c r="N50" s="17">
        <v>163</v>
      </c>
      <c r="O50" s="17">
        <v>89</v>
      </c>
      <c r="P50" s="17">
        <v>116</v>
      </c>
      <c r="Q50" s="17">
        <v>176</v>
      </c>
      <c r="R50" s="17">
        <v>47</v>
      </c>
      <c r="S50" s="17">
        <v>770</v>
      </c>
      <c r="T50" s="57">
        <f t="shared" si="5"/>
        <v>7025</v>
      </c>
      <c r="U50" s="17">
        <v>149</v>
      </c>
      <c r="V50" s="17">
        <v>931</v>
      </c>
      <c r="W50" s="17">
        <v>201</v>
      </c>
      <c r="X50" s="17">
        <v>1043</v>
      </c>
      <c r="Y50" s="17">
        <v>93</v>
      </c>
      <c r="Z50" s="17">
        <v>14</v>
      </c>
      <c r="AA50" s="17">
        <v>3344</v>
      </c>
      <c r="AB50" s="17">
        <v>310</v>
      </c>
      <c r="AC50" s="17">
        <v>679</v>
      </c>
      <c r="AD50" s="17">
        <v>261</v>
      </c>
      <c r="AE50" s="17">
        <v>0</v>
      </c>
    </row>
    <row r="51" spans="1:31" x14ac:dyDescent="0.3">
      <c r="A51" s="39">
        <v>42794</v>
      </c>
      <c r="B51" s="62">
        <f t="shared" si="3"/>
        <v>13623</v>
      </c>
      <c r="C51" s="63">
        <v>548</v>
      </c>
      <c r="D51" s="57">
        <f t="shared" si="4"/>
        <v>3520</v>
      </c>
      <c r="E51" s="17">
        <v>51</v>
      </c>
      <c r="F51" s="17">
        <v>472</v>
      </c>
      <c r="G51" s="17">
        <v>104</v>
      </c>
      <c r="H51" s="17">
        <v>536</v>
      </c>
      <c r="I51" s="17">
        <v>160</v>
      </c>
      <c r="J51" s="17">
        <v>95</v>
      </c>
      <c r="K51" s="17">
        <v>63</v>
      </c>
      <c r="L51" s="17">
        <v>145</v>
      </c>
      <c r="M51" s="17">
        <v>101</v>
      </c>
      <c r="N51" s="17">
        <v>296</v>
      </c>
      <c r="O51" s="17">
        <v>134</v>
      </c>
      <c r="P51" s="17">
        <v>167</v>
      </c>
      <c r="Q51" s="17">
        <v>240</v>
      </c>
      <c r="R51" s="17">
        <v>50</v>
      </c>
      <c r="S51" s="17">
        <v>906</v>
      </c>
      <c r="T51" s="57">
        <f t="shared" si="5"/>
        <v>9555</v>
      </c>
      <c r="U51" s="17">
        <v>333</v>
      </c>
      <c r="V51" s="17">
        <v>1699</v>
      </c>
      <c r="W51" s="17">
        <v>312</v>
      </c>
      <c r="X51" s="17">
        <v>1802</v>
      </c>
      <c r="Y51" s="17">
        <v>213</v>
      </c>
      <c r="Z51" s="17">
        <v>71</v>
      </c>
      <c r="AA51" s="17">
        <v>2780</v>
      </c>
      <c r="AB51" s="17">
        <v>655</v>
      </c>
      <c r="AC51" s="17">
        <v>1102</v>
      </c>
      <c r="AD51" s="17">
        <v>588</v>
      </c>
      <c r="AE51" s="17">
        <v>0</v>
      </c>
    </row>
    <row r="52" spans="1:31" x14ac:dyDescent="0.3">
      <c r="A52" s="39">
        <v>42825</v>
      </c>
      <c r="B52" s="62">
        <f t="shared" si="3"/>
        <v>15410</v>
      </c>
      <c r="C52" s="63">
        <v>1096</v>
      </c>
      <c r="D52" s="57">
        <f t="shared" si="4"/>
        <v>4010</v>
      </c>
      <c r="E52" s="17">
        <v>34</v>
      </c>
      <c r="F52" s="17">
        <v>499</v>
      </c>
      <c r="G52" s="17">
        <v>116</v>
      </c>
      <c r="H52" s="17">
        <v>378</v>
      </c>
      <c r="I52" s="17">
        <v>143</v>
      </c>
      <c r="J52" s="17">
        <v>132</v>
      </c>
      <c r="K52" s="17">
        <v>65</v>
      </c>
      <c r="L52" s="17">
        <v>105</v>
      </c>
      <c r="M52" s="17">
        <v>121</v>
      </c>
      <c r="N52" s="17">
        <v>287</v>
      </c>
      <c r="O52" s="17">
        <v>107</v>
      </c>
      <c r="P52" s="17">
        <v>519</v>
      </c>
      <c r="Q52" s="17">
        <v>220</v>
      </c>
      <c r="R52" s="17">
        <v>102</v>
      </c>
      <c r="S52" s="17">
        <v>1182</v>
      </c>
      <c r="T52" s="57">
        <f t="shared" si="5"/>
        <v>10303</v>
      </c>
      <c r="U52" s="17">
        <v>252</v>
      </c>
      <c r="V52" s="17">
        <v>1585</v>
      </c>
      <c r="W52" s="17">
        <v>415</v>
      </c>
      <c r="X52" s="17">
        <v>2259</v>
      </c>
      <c r="Y52" s="17">
        <v>183</v>
      </c>
      <c r="Z52" s="17">
        <v>54</v>
      </c>
      <c r="AA52" s="17">
        <v>3042</v>
      </c>
      <c r="AB52" s="17">
        <v>462</v>
      </c>
      <c r="AC52" s="17">
        <v>1658</v>
      </c>
      <c r="AD52" s="17">
        <v>393</v>
      </c>
      <c r="AE52" s="17">
        <v>1</v>
      </c>
    </row>
    <row r="53" spans="1:31" x14ac:dyDescent="0.3">
      <c r="A53" s="39">
        <v>42855</v>
      </c>
      <c r="B53" s="62">
        <f t="shared" si="3"/>
        <v>10588</v>
      </c>
      <c r="C53" s="63">
        <v>1068</v>
      </c>
      <c r="D53" s="57">
        <f t="shared" si="4"/>
        <v>2182</v>
      </c>
      <c r="E53" s="17">
        <v>9</v>
      </c>
      <c r="F53" s="17">
        <v>426</v>
      </c>
      <c r="G53" s="17">
        <v>71</v>
      </c>
      <c r="H53" s="17">
        <v>153</v>
      </c>
      <c r="I53" s="17">
        <v>96</v>
      </c>
      <c r="J53" s="17">
        <v>68</v>
      </c>
      <c r="K53" s="17">
        <v>37</v>
      </c>
      <c r="L53" s="17">
        <v>71</v>
      </c>
      <c r="M53" s="17">
        <v>68</v>
      </c>
      <c r="N53" s="17">
        <v>146</v>
      </c>
      <c r="O53" s="17">
        <v>54</v>
      </c>
      <c r="P53" s="17">
        <v>86</v>
      </c>
      <c r="Q53" s="17">
        <v>158</v>
      </c>
      <c r="R53" s="17">
        <v>113</v>
      </c>
      <c r="S53" s="17">
        <v>626</v>
      </c>
      <c r="T53" s="57">
        <f t="shared" si="5"/>
        <v>7336</v>
      </c>
      <c r="U53" s="17">
        <v>171</v>
      </c>
      <c r="V53" s="17">
        <v>1346</v>
      </c>
      <c r="W53" s="17">
        <v>278</v>
      </c>
      <c r="X53" s="17">
        <v>1908</v>
      </c>
      <c r="Y53" s="17">
        <v>78</v>
      </c>
      <c r="Z53" s="17">
        <v>36</v>
      </c>
      <c r="AA53" s="17">
        <v>2378</v>
      </c>
      <c r="AB53" s="17">
        <v>264</v>
      </c>
      <c r="AC53" s="17">
        <v>560</v>
      </c>
      <c r="AD53" s="17">
        <v>317</v>
      </c>
      <c r="AE53" s="17">
        <v>2</v>
      </c>
    </row>
    <row r="54" spans="1:31" x14ac:dyDescent="0.3">
      <c r="A54" s="39">
        <v>42886</v>
      </c>
      <c r="B54" s="62">
        <f t="shared" si="3"/>
        <v>16460</v>
      </c>
      <c r="C54" s="63">
        <v>1265</v>
      </c>
      <c r="D54" s="57">
        <f t="shared" si="4"/>
        <v>4261</v>
      </c>
      <c r="E54" s="17">
        <v>29</v>
      </c>
      <c r="F54" s="17">
        <v>631</v>
      </c>
      <c r="G54" s="17">
        <v>153</v>
      </c>
      <c r="H54" s="17">
        <v>481</v>
      </c>
      <c r="I54" s="17">
        <v>207</v>
      </c>
      <c r="J54" s="17">
        <v>119</v>
      </c>
      <c r="K54" s="17">
        <v>71</v>
      </c>
      <c r="L54" s="17">
        <v>85</v>
      </c>
      <c r="M54" s="17">
        <v>82</v>
      </c>
      <c r="N54" s="17">
        <v>341</v>
      </c>
      <c r="O54" s="17">
        <v>155</v>
      </c>
      <c r="P54" s="17">
        <v>161</v>
      </c>
      <c r="Q54" s="17">
        <v>327</v>
      </c>
      <c r="R54" s="17">
        <v>107</v>
      </c>
      <c r="S54" s="17">
        <v>1312</v>
      </c>
      <c r="T54" s="57">
        <f t="shared" si="5"/>
        <v>10932</v>
      </c>
      <c r="U54" s="17">
        <v>256</v>
      </c>
      <c r="V54" s="17">
        <v>1930</v>
      </c>
      <c r="W54" s="17">
        <v>503</v>
      </c>
      <c r="X54" s="17">
        <v>2380</v>
      </c>
      <c r="Y54" s="17">
        <v>177</v>
      </c>
      <c r="Z54" s="17">
        <v>46</v>
      </c>
      <c r="AA54" s="17">
        <v>3411</v>
      </c>
      <c r="AB54" s="17">
        <v>513</v>
      </c>
      <c r="AC54" s="17">
        <v>1181</v>
      </c>
      <c r="AD54" s="17">
        <v>535</v>
      </c>
      <c r="AE54" s="17">
        <v>2</v>
      </c>
    </row>
    <row r="55" spans="1:31" x14ac:dyDescent="0.3">
      <c r="A55" s="39">
        <v>42916</v>
      </c>
      <c r="B55" s="62">
        <f t="shared" si="3"/>
        <v>13024</v>
      </c>
      <c r="C55" s="63">
        <v>530</v>
      </c>
      <c r="D55" s="57">
        <f t="shared" si="4"/>
        <v>3798</v>
      </c>
      <c r="E55" s="17">
        <v>34</v>
      </c>
      <c r="F55" s="17">
        <v>519</v>
      </c>
      <c r="G55" s="17">
        <v>90</v>
      </c>
      <c r="H55" s="17">
        <v>362</v>
      </c>
      <c r="I55" s="17">
        <v>255</v>
      </c>
      <c r="J55" s="17">
        <v>108</v>
      </c>
      <c r="K55" s="17">
        <v>53</v>
      </c>
      <c r="L55" s="17">
        <v>97</v>
      </c>
      <c r="M55" s="17">
        <v>109</v>
      </c>
      <c r="N55" s="17">
        <v>389</v>
      </c>
      <c r="O55" s="17">
        <v>129</v>
      </c>
      <c r="P55" s="17">
        <v>57</v>
      </c>
      <c r="Q55" s="17">
        <v>303</v>
      </c>
      <c r="R55" s="17">
        <v>188</v>
      </c>
      <c r="S55" s="17">
        <v>1105</v>
      </c>
      <c r="T55" s="57">
        <f t="shared" si="5"/>
        <v>8695</v>
      </c>
      <c r="U55" s="17">
        <v>263</v>
      </c>
      <c r="V55" s="17">
        <v>1708</v>
      </c>
      <c r="W55" s="17">
        <v>344</v>
      </c>
      <c r="X55" s="17">
        <v>1540</v>
      </c>
      <c r="Y55" s="17">
        <v>176</v>
      </c>
      <c r="Z55" s="17">
        <v>60</v>
      </c>
      <c r="AA55" s="17">
        <v>2827</v>
      </c>
      <c r="AB55" s="17">
        <v>435</v>
      </c>
      <c r="AC55" s="17">
        <v>956</v>
      </c>
      <c r="AD55" s="17">
        <v>386</v>
      </c>
      <c r="AE55" s="17">
        <v>1</v>
      </c>
    </row>
    <row r="56" spans="1:31" x14ac:dyDescent="0.3">
      <c r="A56" s="39">
        <v>42947</v>
      </c>
      <c r="B56" s="62">
        <f t="shared" si="3"/>
        <v>11034</v>
      </c>
      <c r="C56" s="63">
        <v>427</v>
      </c>
      <c r="D56" s="57">
        <f t="shared" si="4"/>
        <v>3414</v>
      </c>
      <c r="E56" s="17">
        <v>16</v>
      </c>
      <c r="F56" s="17">
        <v>562</v>
      </c>
      <c r="G56" s="17">
        <v>65</v>
      </c>
      <c r="H56" s="17">
        <v>191</v>
      </c>
      <c r="I56" s="17">
        <v>84</v>
      </c>
      <c r="J56" s="17">
        <v>94</v>
      </c>
      <c r="K56" s="17">
        <v>50</v>
      </c>
      <c r="L56" s="17">
        <v>83</v>
      </c>
      <c r="M56" s="17">
        <v>56</v>
      </c>
      <c r="N56" s="17">
        <v>280</v>
      </c>
      <c r="O56" s="17">
        <v>107</v>
      </c>
      <c r="P56" s="17">
        <v>72</v>
      </c>
      <c r="Q56" s="17">
        <v>156</v>
      </c>
      <c r="R56" s="17">
        <v>141</v>
      </c>
      <c r="S56" s="17">
        <v>1457</v>
      </c>
      <c r="T56" s="57">
        <f t="shared" si="5"/>
        <v>7191</v>
      </c>
      <c r="U56" s="17">
        <v>181</v>
      </c>
      <c r="V56" s="17">
        <v>1431</v>
      </c>
      <c r="W56" s="17">
        <v>297</v>
      </c>
      <c r="X56" s="17">
        <v>972</v>
      </c>
      <c r="Y56" s="17">
        <v>165</v>
      </c>
      <c r="Z56" s="17">
        <v>29</v>
      </c>
      <c r="AA56" s="17">
        <v>2891</v>
      </c>
      <c r="AB56" s="17">
        <v>257</v>
      </c>
      <c r="AC56" s="17">
        <v>703</v>
      </c>
      <c r="AD56" s="17">
        <v>265</v>
      </c>
      <c r="AE56" s="17">
        <v>2</v>
      </c>
    </row>
    <row r="57" spans="1:31" x14ac:dyDescent="0.3">
      <c r="A57" s="39">
        <v>42978</v>
      </c>
      <c r="B57" s="62">
        <f t="shared" si="3"/>
        <v>9999</v>
      </c>
      <c r="C57" s="63">
        <v>548</v>
      </c>
      <c r="D57" s="57">
        <f t="shared" si="4"/>
        <v>2368</v>
      </c>
      <c r="E57" s="17">
        <v>9</v>
      </c>
      <c r="F57" s="17">
        <v>444</v>
      </c>
      <c r="G57" s="17">
        <v>41</v>
      </c>
      <c r="H57" s="17">
        <v>154</v>
      </c>
      <c r="I57" s="17">
        <v>30</v>
      </c>
      <c r="J57" s="17">
        <v>37</v>
      </c>
      <c r="K57" s="17">
        <v>29</v>
      </c>
      <c r="L57" s="17">
        <v>71</v>
      </c>
      <c r="M57" s="17">
        <v>49</v>
      </c>
      <c r="N57" s="17">
        <v>189</v>
      </c>
      <c r="O57" s="17">
        <v>56</v>
      </c>
      <c r="P57" s="17">
        <v>75</v>
      </c>
      <c r="Q57" s="17">
        <v>288</v>
      </c>
      <c r="R57" s="17">
        <v>97</v>
      </c>
      <c r="S57" s="17">
        <v>799</v>
      </c>
      <c r="T57" s="57">
        <f t="shared" si="5"/>
        <v>7081</v>
      </c>
      <c r="U57" s="17">
        <v>124</v>
      </c>
      <c r="V57" s="17">
        <v>1389</v>
      </c>
      <c r="W57" s="17">
        <v>186</v>
      </c>
      <c r="X57" s="17">
        <v>854</v>
      </c>
      <c r="Y57" s="17">
        <v>67</v>
      </c>
      <c r="Z57" s="17">
        <v>15</v>
      </c>
      <c r="AA57" s="17">
        <v>3345</v>
      </c>
      <c r="AB57" s="17">
        <v>257</v>
      </c>
      <c r="AC57" s="17">
        <v>607</v>
      </c>
      <c r="AD57" s="17">
        <v>237</v>
      </c>
      <c r="AE57" s="17">
        <v>2</v>
      </c>
    </row>
    <row r="58" spans="1:31" x14ac:dyDescent="0.3">
      <c r="A58" s="39">
        <v>43008</v>
      </c>
      <c r="B58" s="62">
        <f t="shared" si="3"/>
        <v>11556</v>
      </c>
      <c r="C58" s="63">
        <v>390</v>
      </c>
      <c r="D58" s="57">
        <f t="shared" si="4"/>
        <v>3495</v>
      </c>
      <c r="E58" s="17">
        <v>12</v>
      </c>
      <c r="F58" s="17">
        <v>434</v>
      </c>
      <c r="G58" s="17">
        <v>119</v>
      </c>
      <c r="H58" s="17">
        <v>479</v>
      </c>
      <c r="I58" s="17">
        <v>135</v>
      </c>
      <c r="J58" s="17">
        <v>75</v>
      </c>
      <c r="K58" s="17">
        <v>41</v>
      </c>
      <c r="L58" s="17">
        <v>79</v>
      </c>
      <c r="M58" s="17">
        <v>123</v>
      </c>
      <c r="N58" s="17">
        <v>346</v>
      </c>
      <c r="O58" s="17">
        <v>112</v>
      </c>
      <c r="P58" s="17">
        <v>363</v>
      </c>
      <c r="Q58" s="17">
        <v>178</v>
      </c>
      <c r="R58" s="17">
        <v>64</v>
      </c>
      <c r="S58" s="17">
        <v>935</v>
      </c>
      <c r="T58" s="57">
        <f t="shared" si="5"/>
        <v>7671</v>
      </c>
      <c r="U58" s="17">
        <v>174</v>
      </c>
      <c r="V58" s="17">
        <v>1331</v>
      </c>
      <c r="W58" s="17">
        <v>198</v>
      </c>
      <c r="X58" s="17">
        <v>1809</v>
      </c>
      <c r="Y58" s="17">
        <v>97</v>
      </c>
      <c r="Z58" s="17">
        <v>23</v>
      </c>
      <c r="AA58" s="17">
        <v>2618</v>
      </c>
      <c r="AB58" s="17">
        <v>329</v>
      </c>
      <c r="AC58" s="17">
        <v>694</v>
      </c>
      <c r="AD58" s="17">
        <v>398</v>
      </c>
      <c r="AE58" s="17">
        <v>0</v>
      </c>
    </row>
    <row r="59" spans="1:31" x14ac:dyDescent="0.3">
      <c r="A59" s="39">
        <v>43038</v>
      </c>
      <c r="B59" s="62">
        <f t="shared" si="3"/>
        <v>14529</v>
      </c>
      <c r="C59" s="63">
        <v>1105</v>
      </c>
      <c r="D59" s="57">
        <f t="shared" si="4"/>
        <v>4098</v>
      </c>
      <c r="E59" s="17">
        <v>16</v>
      </c>
      <c r="F59" s="17">
        <v>455</v>
      </c>
      <c r="G59" s="17">
        <v>135</v>
      </c>
      <c r="H59" s="17">
        <v>361</v>
      </c>
      <c r="I59" s="17">
        <v>170</v>
      </c>
      <c r="J59" s="17">
        <v>91</v>
      </c>
      <c r="K59" s="17">
        <v>53</v>
      </c>
      <c r="L59" s="17">
        <v>100</v>
      </c>
      <c r="M59" s="17">
        <v>89</v>
      </c>
      <c r="N59" s="17">
        <v>351</v>
      </c>
      <c r="O59" s="17">
        <v>144</v>
      </c>
      <c r="P59" s="17">
        <v>464</v>
      </c>
      <c r="Q59" s="17">
        <v>268</v>
      </c>
      <c r="R59" s="17">
        <v>53</v>
      </c>
      <c r="S59" s="17">
        <v>1348</v>
      </c>
      <c r="T59" s="57">
        <f t="shared" si="5"/>
        <v>9325</v>
      </c>
      <c r="U59" s="17">
        <v>255</v>
      </c>
      <c r="V59" s="17">
        <v>1794</v>
      </c>
      <c r="W59" s="17">
        <v>271</v>
      </c>
      <c r="X59" s="17">
        <v>1310</v>
      </c>
      <c r="Y59" s="17">
        <v>229</v>
      </c>
      <c r="Z59" s="17">
        <v>31</v>
      </c>
      <c r="AA59" s="17">
        <v>3593</v>
      </c>
      <c r="AB59" s="17">
        <v>477</v>
      </c>
      <c r="AC59" s="17">
        <v>877</v>
      </c>
      <c r="AD59" s="17">
        <v>488</v>
      </c>
      <c r="AE59" s="17">
        <v>1</v>
      </c>
    </row>
    <row r="60" spans="1:31" x14ac:dyDescent="0.3">
      <c r="A60" s="39">
        <v>43069</v>
      </c>
      <c r="B60" s="62">
        <f t="shared" si="3"/>
        <v>9838</v>
      </c>
      <c r="C60" s="63">
        <v>1194</v>
      </c>
      <c r="D60" s="57">
        <f t="shared" si="4"/>
        <v>2753</v>
      </c>
      <c r="E60" s="17">
        <v>13</v>
      </c>
      <c r="F60" s="17">
        <v>311</v>
      </c>
      <c r="G60" s="17">
        <v>115</v>
      </c>
      <c r="H60" s="17">
        <v>317</v>
      </c>
      <c r="I60" s="17">
        <v>144</v>
      </c>
      <c r="J60" s="17">
        <v>76</v>
      </c>
      <c r="K60" s="17">
        <v>46</v>
      </c>
      <c r="L60" s="17">
        <v>54</v>
      </c>
      <c r="M60" s="17">
        <v>68</v>
      </c>
      <c r="N60" s="17">
        <v>195</v>
      </c>
      <c r="O60" s="17">
        <v>119</v>
      </c>
      <c r="P60" s="17">
        <v>260</v>
      </c>
      <c r="Q60" s="17">
        <v>168</v>
      </c>
      <c r="R60" s="17">
        <v>72</v>
      </c>
      <c r="S60" s="17">
        <v>795</v>
      </c>
      <c r="T60" s="57">
        <f t="shared" si="5"/>
        <v>5891</v>
      </c>
      <c r="U60" s="17">
        <v>162</v>
      </c>
      <c r="V60" s="17">
        <v>1201</v>
      </c>
      <c r="W60" s="17">
        <v>331</v>
      </c>
      <c r="X60" s="17">
        <v>760</v>
      </c>
      <c r="Y60" s="17">
        <v>156</v>
      </c>
      <c r="Z60" s="17">
        <v>22</v>
      </c>
      <c r="AA60" s="17">
        <v>2109</v>
      </c>
      <c r="AB60" s="17">
        <v>316</v>
      </c>
      <c r="AC60" s="17">
        <v>615</v>
      </c>
      <c r="AD60" s="17">
        <v>219</v>
      </c>
      <c r="AE60" s="17">
        <v>0</v>
      </c>
    </row>
    <row r="61" spans="1:31" x14ac:dyDescent="0.3">
      <c r="A61" s="39">
        <v>43100</v>
      </c>
      <c r="B61" s="62">
        <f t="shared" si="3"/>
        <v>6719</v>
      </c>
      <c r="C61" s="63">
        <v>1009</v>
      </c>
      <c r="D61" s="57">
        <f t="shared" si="4"/>
        <v>1540</v>
      </c>
      <c r="E61" s="17">
        <v>7</v>
      </c>
      <c r="F61" s="17">
        <v>227</v>
      </c>
      <c r="G61" s="17">
        <v>56</v>
      </c>
      <c r="H61" s="17">
        <v>93</v>
      </c>
      <c r="I61" s="17">
        <v>75</v>
      </c>
      <c r="J61" s="17">
        <v>72</v>
      </c>
      <c r="K61" s="17">
        <v>36</v>
      </c>
      <c r="L61" s="17">
        <v>54</v>
      </c>
      <c r="M61" s="17">
        <v>26</v>
      </c>
      <c r="N61" s="17">
        <v>144</v>
      </c>
      <c r="O61" s="17">
        <v>54</v>
      </c>
      <c r="P61" s="17">
        <v>186</v>
      </c>
      <c r="Q61" s="17">
        <v>104</v>
      </c>
      <c r="R61" s="17">
        <v>16</v>
      </c>
      <c r="S61" s="17">
        <v>390</v>
      </c>
      <c r="T61" s="57">
        <f t="shared" si="5"/>
        <v>4170</v>
      </c>
      <c r="U61" s="17">
        <v>134</v>
      </c>
      <c r="V61" s="17">
        <v>825</v>
      </c>
      <c r="W61" s="17">
        <v>111</v>
      </c>
      <c r="X61" s="17">
        <v>547</v>
      </c>
      <c r="Y61" s="17">
        <v>123</v>
      </c>
      <c r="Z61" s="17">
        <v>18</v>
      </c>
      <c r="AA61" s="17">
        <v>1406</v>
      </c>
      <c r="AB61" s="17">
        <v>301</v>
      </c>
      <c r="AC61" s="17">
        <v>551</v>
      </c>
      <c r="AD61" s="17">
        <v>154</v>
      </c>
      <c r="AE61" s="17">
        <v>0</v>
      </c>
    </row>
    <row r="62" spans="1:31" x14ac:dyDescent="0.3">
      <c r="A62" s="39">
        <v>43131</v>
      </c>
      <c r="B62" s="14">
        <f t="shared" si="3"/>
        <v>12804</v>
      </c>
      <c r="C62" s="64">
        <v>1069</v>
      </c>
      <c r="D62" s="15">
        <f t="shared" si="4"/>
        <v>3603</v>
      </c>
      <c r="E62" s="65">
        <v>22</v>
      </c>
      <c r="F62" s="65">
        <v>392</v>
      </c>
      <c r="G62" s="18">
        <v>119</v>
      </c>
      <c r="H62" s="18">
        <v>352</v>
      </c>
      <c r="I62" s="18">
        <v>131</v>
      </c>
      <c r="J62" s="18">
        <v>88</v>
      </c>
      <c r="K62" s="18">
        <v>34</v>
      </c>
      <c r="L62" s="18">
        <v>98</v>
      </c>
      <c r="M62" s="18">
        <v>82</v>
      </c>
      <c r="N62" s="18">
        <v>300</v>
      </c>
      <c r="O62" s="18">
        <v>137</v>
      </c>
      <c r="P62" s="18">
        <v>225</v>
      </c>
      <c r="Q62" s="18">
        <v>176</v>
      </c>
      <c r="R62" s="18">
        <v>70</v>
      </c>
      <c r="S62" s="18">
        <v>1377</v>
      </c>
      <c r="T62" s="15">
        <f t="shared" si="5"/>
        <v>8132</v>
      </c>
      <c r="U62" s="18">
        <v>229</v>
      </c>
      <c r="V62" s="18">
        <v>1168</v>
      </c>
      <c r="W62" s="18">
        <v>251</v>
      </c>
      <c r="X62" s="18">
        <v>1168</v>
      </c>
      <c r="Y62" s="18">
        <v>141</v>
      </c>
      <c r="Z62" s="18">
        <v>31</v>
      </c>
      <c r="AA62" s="18">
        <v>3593</v>
      </c>
      <c r="AB62" s="18">
        <v>426</v>
      </c>
      <c r="AC62" s="18">
        <v>821</v>
      </c>
      <c r="AD62" s="18">
        <v>304</v>
      </c>
      <c r="AE62" s="18">
        <v>0</v>
      </c>
    </row>
    <row r="63" spans="1:31" x14ac:dyDescent="0.3">
      <c r="A63" s="39">
        <v>43159</v>
      </c>
      <c r="B63" s="14">
        <f t="shared" si="3"/>
        <v>10506</v>
      </c>
      <c r="C63" s="64">
        <v>511</v>
      </c>
      <c r="D63" s="15">
        <f t="shared" si="4"/>
        <v>2880</v>
      </c>
      <c r="E63" s="65">
        <v>22</v>
      </c>
      <c r="F63" s="65">
        <v>347</v>
      </c>
      <c r="G63" s="65">
        <v>115</v>
      </c>
      <c r="H63" s="65">
        <v>325</v>
      </c>
      <c r="I63" s="65">
        <v>139</v>
      </c>
      <c r="J63" s="65">
        <v>82</v>
      </c>
      <c r="K63" s="65">
        <v>35</v>
      </c>
      <c r="L63" s="65">
        <v>98</v>
      </c>
      <c r="M63" s="65">
        <v>69</v>
      </c>
      <c r="N63" s="65">
        <v>208</v>
      </c>
      <c r="O63" s="65">
        <v>90</v>
      </c>
      <c r="P63" s="65">
        <v>132</v>
      </c>
      <c r="Q63" s="65">
        <v>245</v>
      </c>
      <c r="R63" s="65">
        <v>57</v>
      </c>
      <c r="S63" s="65">
        <v>916</v>
      </c>
      <c r="T63" s="15">
        <f t="shared" si="5"/>
        <v>7115</v>
      </c>
      <c r="U63" s="65">
        <v>185</v>
      </c>
      <c r="V63" s="65">
        <v>1129</v>
      </c>
      <c r="W63" s="65">
        <v>276</v>
      </c>
      <c r="X63" s="65">
        <v>1811</v>
      </c>
      <c r="Y63" s="65">
        <v>157</v>
      </c>
      <c r="Z63" s="65">
        <v>29</v>
      </c>
      <c r="AA63" s="65">
        <v>2215</v>
      </c>
      <c r="AB63" s="65">
        <v>329</v>
      </c>
      <c r="AC63" s="65">
        <v>694</v>
      </c>
      <c r="AD63" s="65">
        <v>290</v>
      </c>
      <c r="AE63" s="65">
        <v>0</v>
      </c>
    </row>
    <row r="64" spans="1:31" x14ac:dyDescent="0.3">
      <c r="A64" s="39">
        <v>43190</v>
      </c>
      <c r="B64" s="14">
        <f t="shared" si="3"/>
        <v>14529</v>
      </c>
      <c r="C64" s="66">
        <v>634</v>
      </c>
      <c r="D64" s="15">
        <f t="shared" si="4"/>
        <v>3910</v>
      </c>
      <c r="E64" s="67">
        <v>17</v>
      </c>
      <c r="F64" s="67">
        <v>393</v>
      </c>
      <c r="G64" s="19">
        <v>120</v>
      </c>
      <c r="H64" s="19">
        <v>698</v>
      </c>
      <c r="I64" s="19">
        <v>169</v>
      </c>
      <c r="J64" s="19">
        <v>81</v>
      </c>
      <c r="K64" s="19">
        <v>35</v>
      </c>
      <c r="L64" s="19">
        <v>103</v>
      </c>
      <c r="M64" s="19">
        <v>107</v>
      </c>
      <c r="N64" s="19">
        <v>277</v>
      </c>
      <c r="O64" s="19">
        <v>169</v>
      </c>
      <c r="P64" s="19">
        <v>215</v>
      </c>
      <c r="Q64" s="19">
        <v>210</v>
      </c>
      <c r="R64" s="19">
        <v>49</v>
      </c>
      <c r="S64" s="19">
        <v>1267</v>
      </c>
      <c r="T64" s="15">
        <f t="shared" si="5"/>
        <v>9984</v>
      </c>
      <c r="U64" s="19">
        <v>253</v>
      </c>
      <c r="V64" s="19">
        <v>1643</v>
      </c>
      <c r="W64" s="19">
        <v>364</v>
      </c>
      <c r="X64" s="19">
        <v>2323</v>
      </c>
      <c r="Y64" s="19">
        <v>269</v>
      </c>
      <c r="Z64" s="19">
        <v>49</v>
      </c>
      <c r="AA64" s="19">
        <v>2897</v>
      </c>
      <c r="AB64" s="19">
        <v>601</v>
      </c>
      <c r="AC64" s="19">
        <v>982</v>
      </c>
      <c r="AD64" s="19">
        <v>603</v>
      </c>
      <c r="AE64" s="19">
        <v>1</v>
      </c>
    </row>
    <row r="65" spans="1:31" x14ac:dyDescent="0.3">
      <c r="A65" s="39">
        <v>43220</v>
      </c>
      <c r="B65" s="14">
        <f t="shared" si="3"/>
        <v>10459</v>
      </c>
      <c r="C65" s="66">
        <v>826</v>
      </c>
      <c r="D65" s="15">
        <f t="shared" si="4"/>
        <v>2646</v>
      </c>
      <c r="E65" s="67">
        <v>12</v>
      </c>
      <c r="F65" s="67">
        <v>401</v>
      </c>
      <c r="G65" s="67">
        <v>59</v>
      </c>
      <c r="H65" s="67">
        <v>317</v>
      </c>
      <c r="I65" s="67">
        <v>168</v>
      </c>
      <c r="J65" s="67">
        <v>83</v>
      </c>
      <c r="K65" s="67">
        <v>19</v>
      </c>
      <c r="L65" s="67">
        <v>55</v>
      </c>
      <c r="M65" s="67">
        <v>76</v>
      </c>
      <c r="N65" s="67">
        <v>197</v>
      </c>
      <c r="O65" s="67">
        <v>115</v>
      </c>
      <c r="P65" s="67">
        <v>92</v>
      </c>
      <c r="Q65" s="67">
        <v>190</v>
      </c>
      <c r="R65" s="67">
        <v>97</v>
      </c>
      <c r="S65" s="67">
        <v>765</v>
      </c>
      <c r="T65" s="15">
        <f t="shared" si="5"/>
        <v>6987</v>
      </c>
      <c r="U65" s="67">
        <v>187</v>
      </c>
      <c r="V65" s="67">
        <v>1078</v>
      </c>
      <c r="W65" s="67">
        <v>258</v>
      </c>
      <c r="X65" s="67">
        <v>1534</v>
      </c>
      <c r="Y65" s="67">
        <v>177</v>
      </c>
      <c r="Z65" s="67">
        <v>33</v>
      </c>
      <c r="AA65" s="67">
        <v>2212</v>
      </c>
      <c r="AB65" s="67">
        <v>378</v>
      </c>
      <c r="AC65" s="67">
        <v>815</v>
      </c>
      <c r="AD65" s="67">
        <v>315</v>
      </c>
      <c r="AE65" s="67">
        <v>0</v>
      </c>
    </row>
    <row r="66" spans="1:31" x14ac:dyDescent="0.3">
      <c r="A66" s="39">
        <v>43251</v>
      </c>
      <c r="B66" s="14">
        <f t="shared" ref="B66:B97" si="6">C66+D66+T66+AE66</f>
        <v>12301</v>
      </c>
      <c r="C66" s="66">
        <v>947</v>
      </c>
      <c r="D66" s="15">
        <f t="shared" ref="D66:D97" si="7">SUM(E66:S66)</f>
        <v>3194</v>
      </c>
      <c r="E66" s="67">
        <v>14</v>
      </c>
      <c r="F66" s="67">
        <v>451</v>
      </c>
      <c r="G66" s="19">
        <v>94</v>
      </c>
      <c r="H66" s="19">
        <v>272</v>
      </c>
      <c r="I66" s="19">
        <v>187</v>
      </c>
      <c r="J66" s="19">
        <v>72</v>
      </c>
      <c r="K66" s="19">
        <v>23</v>
      </c>
      <c r="L66" s="19">
        <v>98</v>
      </c>
      <c r="M66" s="19">
        <v>99</v>
      </c>
      <c r="N66" s="19">
        <v>178</v>
      </c>
      <c r="O66" s="19">
        <v>140</v>
      </c>
      <c r="P66" s="19">
        <v>83</v>
      </c>
      <c r="Q66" s="19">
        <v>404</v>
      </c>
      <c r="R66" s="19">
        <v>91</v>
      </c>
      <c r="S66" s="19">
        <v>988</v>
      </c>
      <c r="T66" s="15">
        <f t="shared" ref="T66:T97" si="8">SUM(U66:AD66)</f>
        <v>8160</v>
      </c>
      <c r="U66" s="19">
        <v>199</v>
      </c>
      <c r="V66" s="19">
        <v>1433</v>
      </c>
      <c r="W66" s="19">
        <v>320</v>
      </c>
      <c r="X66" s="19">
        <v>1681</v>
      </c>
      <c r="Y66" s="19">
        <v>152</v>
      </c>
      <c r="Z66" s="19">
        <v>68</v>
      </c>
      <c r="AA66" s="19">
        <v>2714</v>
      </c>
      <c r="AB66" s="19">
        <v>366</v>
      </c>
      <c r="AC66" s="19">
        <v>883</v>
      </c>
      <c r="AD66" s="19">
        <v>344</v>
      </c>
      <c r="AE66" s="19">
        <v>0</v>
      </c>
    </row>
    <row r="67" spans="1:31" x14ac:dyDescent="0.3">
      <c r="A67" s="39">
        <v>43281</v>
      </c>
      <c r="B67" s="14">
        <f t="shared" si="6"/>
        <v>11844</v>
      </c>
      <c r="C67" s="66">
        <v>431</v>
      </c>
      <c r="D67" s="15">
        <f t="shared" si="7"/>
        <v>3187</v>
      </c>
      <c r="E67" s="67">
        <v>34</v>
      </c>
      <c r="F67" s="67">
        <v>447</v>
      </c>
      <c r="G67" s="67">
        <v>84</v>
      </c>
      <c r="H67" s="67">
        <v>430</v>
      </c>
      <c r="I67" s="67">
        <v>133</v>
      </c>
      <c r="J67" s="67">
        <v>90</v>
      </c>
      <c r="K67" s="67">
        <v>38</v>
      </c>
      <c r="L67" s="67">
        <v>97</v>
      </c>
      <c r="M67" s="67">
        <v>90</v>
      </c>
      <c r="N67" s="67">
        <v>267</v>
      </c>
      <c r="O67" s="67">
        <v>118</v>
      </c>
      <c r="P67" s="67">
        <v>122</v>
      </c>
      <c r="Q67" s="67">
        <v>176</v>
      </c>
      <c r="R67" s="67">
        <v>109</v>
      </c>
      <c r="S67" s="67">
        <v>952</v>
      </c>
      <c r="T67" s="15">
        <f t="shared" si="8"/>
        <v>8226</v>
      </c>
      <c r="U67" s="67">
        <v>234</v>
      </c>
      <c r="V67" s="67">
        <v>1518</v>
      </c>
      <c r="W67" s="67">
        <v>316</v>
      </c>
      <c r="X67" s="67">
        <v>1403</v>
      </c>
      <c r="Y67" s="67">
        <v>208</v>
      </c>
      <c r="Z67" s="67">
        <v>40</v>
      </c>
      <c r="AA67" s="67">
        <v>2432</v>
      </c>
      <c r="AB67" s="67">
        <v>592</v>
      </c>
      <c r="AC67" s="67">
        <v>1029</v>
      </c>
      <c r="AD67" s="67">
        <v>454</v>
      </c>
      <c r="AE67" s="67">
        <v>0</v>
      </c>
    </row>
    <row r="68" spans="1:31" x14ac:dyDescent="0.3">
      <c r="A68" s="39">
        <v>43312</v>
      </c>
      <c r="B68" s="14">
        <f t="shared" si="6"/>
        <v>9356</v>
      </c>
      <c r="C68" s="64">
        <v>267</v>
      </c>
      <c r="D68" s="15">
        <f t="shared" si="7"/>
        <v>2689</v>
      </c>
      <c r="E68" s="65">
        <v>14</v>
      </c>
      <c r="F68" s="65">
        <v>309</v>
      </c>
      <c r="G68" s="18">
        <v>97</v>
      </c>
      <c r="H68" s="18">
        <v>201</v>
      </c>
      <c r="I68" s="18">
        <v>85</v>
      </c>
      <c r="J68" s="18">
        <v>61</v>
      </c>
      <c r="K68" s="18">
        <v>32</v>
      </c>
      <c r="L68" s="18">
        <v>63</v>
      </c>
      <c r="M68" s="18">
        <v>73</v>
      </c>
      <c r="N68" s="18">
        <v>174</v>
      </c>
      <c r="O68" s="18">
        <v>102</v>
      </c>
      <c r="P68" s="18">
        <v>120</v>
      </c>
      <c r="Q68" s="18">
        <v>165</v>
      </c>
      <c r="R68" s="18">
        <v>190</v>
      </c>
      <c r="S68" s="18">
        <v>1003</v>
      </c>
      <c r="T68" s="15">
        <f t="shared" si="8"/>
        <v>6400</v>
      </c>
      <c r="U68" s="18">
        <v>193</v>
      </c>
      <c r="V68" s="18">
        <v>1150</v>
      </c>
      <c r="W68" s="18">
        <v>247</v>
      </c>
      <c r="X68" s="18">
        <v>786</v>
      </c>
      <c r="Y68" s="18">
        <v>150</v>
      </c>
      <c r="Z68" s="18">
        <v>23</v>
      </c>
      <c r="AA68" s="18">
        <v>2204</v>
      </c>
      <c r="AB68" s="18">
        <v>303</v>
      </c>
      <c r="AC68" s="18">
        <v>998</v>
      </c>
      <c r="AD68" s="18">
        <v>346</v>
      </c>
      <c r="AE68" s="18">
        <v>0</v>
      </c>
    </row>
    <row r="69" spans="1:31" x14ac:dyDescent="0.3">
      <c r="A69" s="39">
        <v>43343</v>
      </c>
      <c r="B69" s="14">
        <f t="shared" si="6"/>
        <v>9962</v>
      </c>
      <c r="C69" s="64">
        <v>358</v>
      </c>
      <c r="D69" s="15">
        <f t="shared" si="7"/>
        <v>2120</v>
      </c>
      <c r="E69" s="65">
        <v>14</v>
      </c>
      <c r="F69" s="65">
        <v>531</v>
      </c>
      <c r="G69" s="65">
        <v>47</v>
      </c>
      <c r="H69" s="65">
        <v>77</v>
      </c>
      <c r="I69" s="65">
        <v>27</v>
      </c>
      <c r="J69" s="65">
        <v>30</v>
      </c>
      <c r="K69" s="65">
        <v>24</v>
      </c>
      <c r="L69" s="65">
        <v>57</v>
      </c>
      <c r="M69" s="65">
        <v>67</v>
      </c>
      <c r="N69" s="65">
        <v>172</v>
      </c>
      <c r="O69" s="65">
        <v>71</v>
      </c>
      <c r="P69" s="65">
        <v>118</v>
      </c>
      <c r="Q69" s="65">
        <v>89</v>
      </c>
      <c r="R69" s="65">
        <v>176</v>
      </c>
      <c r="S69" s="65">
        <v>620</v>
      </c>
      <c r="T69" s="15">
        <f t="shared" si="8"/>
        <v>7484</v>
      </c>
      <c r="U69" s="65">
        <v>129</v>
      </c>
      <c r="V69" s="65">
        <v>1109</v>
      </c>
      <c r="W69" s="65">
        <v>217</v>
      </c>
      <c r="X69" s="65">
        <v>805</v>
      </c>
      <c r="Y69" s="65">
        <v>165</v>
      </c>
      <c r="Z69" s="65">
        <v>7</v>
      </c>
      <c r="AA69" s="65">
        <v>3433</v>
      </c>
      <c r="AB69" s="65">
        <v>580</v>
      </c>
      <c r="AC69" s="65">
        <v>722</v>
      </c>
      <c r="AD69" s="65">
        <v>317</v>
      </c>
      <c r="AE69" s="65">
        <v>0</v>
      </c>
    </row>
    <row r="70" spans="1:31" x14ac:dyDescent="0.3">
      <c r="A70" s="39">
        <v>43373</v>
      </c>
      <c r="B70" s="14">
        <f t="shared" si="6"/>
        <v>11710</v>
      </c>
      <c r="C70" s="60">
        <v>316</v>
      </c>
      <c r="D70" s="15">
        <f t="shared" si="7"/>
        <v>3059</v>
      </c>
      <c r="E70" s="67">
        <v>2</v>
      </c>
      <c r="F70" s="67">
        <v>390</v>
      </c>
      <c r="G70" s="19">
        <v>107</v>
      </c>
      <c r="H70" s="19">
        <v>343</v>
      </c>
      <c r="I70" s="19">
        <v>147</v>
      </c>
      <c r="J70" s="19">
        <v>96</v>
      </c>
      <c r="K70" s="19">
        <v>41</v>
      </c>
      <c r="L70" s="19">
        <v>78</v>
      </c>
      <c r="M70" s="19">
        <v>95</v>
      </c>
      <c r="N70" s="19">
        <v>253</v>
      </c>
      <c r="O70" s="19">
        <v>124</v>
      </c>
      <c r="P70" s="19">
        <v>131</v>
      </c>
      <c r="Q70" s="19">
        <v>153</v>
      </c>
      <c r="R70" s="19">
        <v>47</v>
      </c>
      <c r="S70" s="19">
        <v>1052</v>
      </c>
      <c r="T70" s="15">
        <f t="shared" si="8"/>
        <v>8335</v>
      </c>
      <c r="U70" s="19">
        <v>186</v>
      </c>
      <c r="V70" s="19">
        <v>1130</v>
      </c>
      <c r="W70" s="19">
        <v>499</v>
      </c>
      <c r="X70" s="19">
        <v>2138</v>
      </c>
      <c r="Y70" s="19">
        <v>148</v>
      </c>
      <c r="Z70" s="19">
        <v>29</v>
      </c>
      <c r="AA70" s="19">
        <v>2415</v>
      </c>
      <c r="AB70" s="19">
        <v>467</v>
      </c>
      <c r="AC70" s="19">
        <v>983</v>
      </c>
      <c r="AD70" s="19">
        <v>340</v>
      </c>
      <c r="AE70" s="19">
        <v>0</v>
      </c>
    </row>
    <row r="71" spans="1:31" x14ac:dyDescent="0.3">
      <c r="A71" s="39">
        <v>43403</v>
      </c>
      <c r="B71" s="14">
        <f t="shared" si="6"/>
        <v>12218</v>
      </c>
      <c r="C71" s="60">
        <v>446</v>
      </c>
      <c r="D71" s="15">
        <f t="shared" si="7"/>
        <v>3733</v>
      </c>
      <c r="E71" s="67">
        <v>13</v>
      </c>
      <c r="F71" s="67">
        <v>476</v>
      </c>
      <c r="G71" s="67">
        <v>209</v>
      </c>
      <c r="H71" s="67">
        <v>394</v>
      </c>
      <c r="I71" s="67">
        <v>198</v>
      </c>
      <c r="J71" s="67">
        <v>100</v>
      </c>
      <c r="K71" s="67">
        <v>56</v>
      </c>
      <c r="L71" s="67">
        <v>90</v>
      </c>
      <c r="M71" s="67">
        <v>82</v>
      </c>
      <c r="N71" s="67">
        <v>360</v>
      </c>
      <c r="O71" s="67">
        <v>112</v>
      </c>
      <c r="P71" s="67">
        <v>157</v>
      </c>
      <c r="Q71" s="67">
        <v>236</v>
      </c>
      <c r="R71" s="67">
        <v>75</v>
      </c>
      <c r="S71" s="67">
        <v>1175</v>
      </c>
      <c r="T71" s="15">
        <f t="shared" si="8"/>
        <v>8039</v>
      </c>
      <c r="U71" s="67">
        <v>264</v>
      </c>
      <c r="V71" s="67">
        <v>1405</v>
      </c>
      <c r="W71" s="67">
        <v>521</v>
      </c>
      <c r="X71" s="67">
        <v>1215</v>
      </c>
      <c r="Y71" s="67">
        <v>308</v>
      </c>
      <c r="Z71" s="67">
        <v>45</v>
      </c>
      <c r="AA71" s="67">
        <v>2183</v>
      </c>
      <c r="AB71" s="67">
        <v>586</v>
      </c>
      <c r="AC71" s="67">
        <v>1135</v>
      </c>
      <c r="AD71" s="67">
        <v>377</v>
      </c>
      <c r="AE71" s="67">
        <v>0</v>
      </c>
    </row>
    <row r="72" spans="1:31" x14ac:dyDescent="0.3">
      <c r="A72" s="39">
        <v>43434</v>
      </c>
      <c r="B72" s="14">
        <f t="shared" si="6"/>
        <v>9039</v>
      </c>
      <c r="C72" s="64">
        <v>589</v>
      </c>
      <c r="D72" s="15">
        <f t="shared" si="7"/>
        <v>2516</v>
      </c>
      <c r="E72" s="65">
        <v>9</v>
      </c>
      <c r="F72" s="65">
        <v>334</v>
      </c>
      <c r="G72" s="18">
        <v>110</v>
      </c>
      <c r="H72" s="18">
        <v>234</v>
      </c>
      <c r="I72" s="18">
        <v>124</v>
      </c>
      <c r="J72" s="18">
        <v>82</v>
      </c>
      <c r="K72" s="18">
        <v>35</v>
      </c>
      <c r="L72" s="18">
        <v>83</v>
      </c>
      <c r="M72" s="18">
        <v>81</v>
      </c>
      <c r="N72" s="18">
        <v>203</v>
      </c>
      <c r="O72" s="18">
        <v>123</v>
      </c>
      <c r="P72" s="18">
        <v>61</v>
      </c>
      <c r="Q72" s="18">
        <v>244</v>
      </c>
      <c r="R72" s="18">
        <v>47</v>
      </c>
      <c r="S72" s="18">
        <v>746</v>
      </c>
      <c r="T72" s="15">
        <f t="shared" si="8"/>
        <v>5934</v>
      </c>
      <c r="U72" s="18">
        <v>181</v>
      </c>
      <c r="V72" s="18">
        <v>975</v>
      </c>
      <c r="W72" s="18">
        <v>179</v>
      </c>
      <c r="X72" s="18">
        <v>718</v>
      </c>
      <c r="Y72" s="18">
        <v>180</v>
      </c>
      <c r="Z72" s="18">
        <v>58</v>
      </c>
      <c r="AA72" s="18">
        <v>2222</v>
      </c>
      <c r="AB72" s="18">
        <v>383</v>
      </c>
      <c r="AC72" s="18">
        <v>817</v>
      </c>
      <c r="AD72" s="18">
        <v>221</v>
      </c>
      <c r="AE72" s="18">
        <v>0</v>
      </c>
    </row>
    <row r="73" spans="1:31" x14ac:dyDescent="0.3">
      <c r="A73" s="39">
        <v>43465</v>
      </c>
      <c r="B73" s="14">
        <f t="shared" si="6"/>
        <v>5925</v>
      </c>
      <c r="C73" s="64">
        <v>172</v>
      </c>
      <c r="D73" s="15">
        <f t="shared" si="7"/>
        <v>1502</v>
      </c>
      <c r="E73" s="65">
        <v>7</v>
      </c>
      <c r="F73" s="65">
        <v>243</v>
      </c>
      <c r="G73" s="65">
        <v>51</v>
      </c>
      <c r="H73" s="65">
        <v>90</v>
      </c>
      <c r="I73" s="65">
        <v>71</v>
      </c>
      <c r="J73" s="65">
        <v>37</v>
      </c>
      <c r="K73" s="65">
        <v>20</v>
      </c>
      <c r="L73" s="65">
        <v>45</v>
      </c>
      <c r="M73" s="65">
        <v>49</v>
      </c>
      <c r="N73" s="65">
        <v>134</v>
      </c>
      <c r="O73" s="65">
        <v>53</v>
      </c>
      <c r="P73" s="65">
        <v>84</v>
      </c>
      <c r="Q73" s="65">
        <v>95</v>
      </c>
      <c r="R73" s="65">
        <v>64</v>
      </c>
      <c r="S73" s="65">
        <v>459</v>
      </c>
      <c r="T73" s="15">
        <f t="shared" si="8"/>
        <v>4251</v>
      </c>
      <c r="U73" s="65">
        <v>70</v>
      </c>
      <c r="V73" s="65">
        <v>744</v>
      </c>
      <c r="W73" s="65">
        <v>112</v>
      </c>
      <c r="X73" s="65">
        <v>381</v>
      </c>
      <c r="Y73" s="65">
        <v>100</v>
      </c>
      <c r="Z73" s="65">
        <v>33</v>
      </c>
      <c r="AA73" s="65">
        <v>1793</v>
      </c>
      <c r="AB73" s="65">
        <v>290</v>
      </c>
      <c r="AC73" s="65">
        <v>502</v>
      </c>
      <c r="AD73" s="65">
        <v>226</v>
      </c>
      <c r="AE73" s="65">
        <v>0</v>
      </c>
    </row>
    <row r="74" spans="1:31" x14ac:dyDescent="0.3">
      <c r="A74" s="39">
        <v>43496</v>
      </c>
      <c r="B74" s="14">
        <f t="shared" si="6"/>
        <v>12087</v>
      </c>
      <c r="C74" s="64">
        <v>848</v>
      </c>
      <c r="D74" s="15">
        <f t="shared" si="7"/>
        <v>3128</v>
      </c>
      <c r="E74" s="65">
        <v>12</v>
      </c>
      <c r="F74" s="65">
        <v>382</v>
      </c>
      <c r="G74" s="18">
        <v>92</v>
      </c>
      <c r="H74" s="18">
        <v>196</v>
      </c>
      <c r="I74" s="18">
        <v>125</v>
      </c>
      <c r="J74" s="18">
        <v>105</v>
      </c>
      <c r="K74" s="18">
        <v>59</v>
      </c>
      <c r="L74" s="18">
        <v>99</v>
      </c>
      <c r="M74" s="18">
        <v>72</v>
      </c>
      <c r="N74" s="18">
        <v>237</v>
      </c>
      <c r="O74" s="18">
        <v>129</v>
      </c>
      <c r="P74" s="18">
        <v>71</v>
      </c>
      <c r="Q74" s="18">
        <v>243</v>
      </c>
      <c r="R74" s="18">
        <v>76</v>
      </c>
      <c r="S74" s="18">
        <v>1230</v>
      </c>
      <c r="T74" s="15">
        <f t="shared" si="8"/>
        <v>8111</v>
      </c>
      <c r="U74" s="18">
        <v>201</v>
      </c>
      <c r="V74" s="18">
        <v>1079</v>
      </c>
      <c r="W74" s="18">
        <v>213</v>
      </c>
      <c r="X74" s="18">
        <v>1139</v>
      </c>
      <c r="Y74" s="18">
        <v>180</v>
      </c>
      <c r="Z74" s="18">
        <v>63</v>
      </c>
      <c r="AA74" s="18">
        <v>3522</v>
      </c>
      <c r="AB74" s="18">
        <v>551</v>
      </c>
      <c r="AC74" s="18">
        <v>906</v>
      </c>
      <c r="AD74" s="18">
        <v>257</v>
      </c>
      <c r="AE74" s="18">
        <v>0</v>
      </c>
    </row>
    <row r="75" spans="1:31" x14ac:dyDescent="0.3">
      <c r="A75" s="39">
        <v>43524</v>
      </c>
      <c r="B75" s="14">
        <f t="shared" si="6"/>
        <v>10396</v>
      </c>
      <c r="C75" s="64">
        <v>348</v>
      </c>
      <c r="D75" s="15">
        <f t="shared" si="7"/>
        <v>2875</v>
      </c>
      <c r="E75" s="65">
        <v>20</v>
      </c>
      <c r="F75" s="65">
        <v>309</v>
      </c>
      <c r="G75" s="65">
        <v>97</v>
      </c>
      <c r="H75" s="65">
        <v>175</v>
      </c>
      <c r="I75" s="65">
        <v>103</v>
      </c>
      <c r="J75" s="65">
        <v>94</v>
      </c>
      <c r="K75" s="65">
        <v>51</v>
      </c>
      <c r="L75" s="65">
        <v>168</v>
      </c>
      <c r="M75" s="65">
        <v>71</v>
      </c>
      <c r="N75" s="65">
        <v>259</v>
      </c>
      <c r="O75" s="65">
        <v>134</v>
      </c>
      <c r="P75" s="65">
        <v>81</v>
      </c>
      <c r="Q75" s="65">
        <v>184</v>
      </c>
      <c r="R75" s="65">
        <v>48</v>
      </c>
      <c r="S75" s="65">
        <v>1081</v>
      </c>
      <c r="T75" s="15">
        <f t="shared" si="8"/>
        <v>7173</v>
      </c>
      <c r="U75" s="65">
        <v>214</v>
      </c>
      <c r="V75" s="65">
        <v>1146</v>
      </c>
      <c r="W75" s="65">
        <v>205</v>
      </c>
      <c r="X75" s="65">
        <v>1684</v>
      </c>
      <c r="Y75" s="65">
        <v>202</v>
      </c>
      <c r="Z75" s="65">
        <v>39</v>
      </c>
      <c r="AA75" s="65">
        <v>2041</v>
      </c>
      <c r="AB75" s="65">
        <v>534</v>
      </c>
      <c r="AC75" s="65">
        <v>809</v>
      </c>
      <c r="AD75" s="65">
        <v>299</v>
      </c>
      <c r="AE75" s="65">
        <v>0</v>
      </c>
    </row>
    <row r="76" spans="1:31" x14ac:dyDescent="0.3">
      <c r="A76" s="39">
        <v>43555</v>
      </c>
      <c r="B76" s="14">
        <f t="shared" si="6"/>
        <v>11667</v>
      </c>
      <c r="C76" s="60">
        <v>475</v>
      </c>
      <c r="D76" s="15">
        <f t="shared" si="7"/>
        <v>2724</v>
      </c>
      <c r="E76" s="67">
        <v>17</v>
      </c>
      <c r="F76" s="67">
        <v>306</v>
      </c>
      <c r="G76" s="19">
        <v>93</v>
      </c>
      <c r="H76" s="19">
        <v>277</v>
      </c>
      <c r="I76" s="19">
        <v>185</v>
      </c>
      <c r="J76" s="19">
        <v>64</v>
      </c>
      <c r="K76" s="19">
        <v>35</v>
      </c>
      <c r="L76" s="19">
        <v>89</v>
      </c>
      <c r="M76" s="19">
        <v>84</v>
      </c>
      <c r="N76" s="19">
        <v>242</v>
      </c>
      <c r="O76" s="19">
        <v>107</v>
      </c>
      <c r="P76" s="19">
        <v>74</v>
      </c>
      <c r="Q76" s="19">
        <v>159</v>
      </c>
      <c r="R76" s="19">
        <v>94</v>
      </c>
      <c r="S76" s="19">
        <v>898</v>
      </c>
      <c r="T76" s="15">
        <f t="shared" si="8"/>
        <v>8468</v>
      </c>
      <c r="U76" s="19">
        <v>206</v>
      </c>
      <c r="V76" s="19">
        <v>1289</v>
      </c>
      <c r="W76" s="19">
        <v>272</v>
      </c>
      <c r="X76" s="19">
        <v>2259</v>
      </c>
      <c r="Y76" s="19">
        <v>245</v>
      </c>
      <c r="Z76" s="19">
        <v>36</v>
      </c>
      <c r="AA76" s="19">
        <v>2240</v>
      </c>
      <c r="AB76" s="19">
        <v>586</v>
      </c>
      <c r="AC76" s="19">
        <v>918</v>
      </c>
      <c r="AD76" s="19">
        <v>417</v>
      </c>
      <c r="AE76" s="19">
        <v>0</v>
      </c>
    </row>
    <row r="77" spans="1:31" x14ac:dyDescent="0.3">
      <c r="A77" s="39">
        <v>43585</v>
      </c>
      <c r="B77" s="14">
        <f t="shared" si="6"/>
        <v>10016</v>
      </c>
      <c r="C77" s="60">
        <v>447</v>
      </c>
      <c r="D77" s="15">
        <f t="shared" si="7"/>
        <v>2232</v>
      </c>
      <c r="E77" s="67">
        <v>15</v>
      </c>
      <c r="F77" s="67">
        <v>269</v>
      </c>
      <c r="G77" s="67">
        <v>88</v>
      </c>
      <c r="H77" s="67">
        <v>214</v>
      </c>
      <c r="I77" s="67">
        <v>125</v>
      </c>
      <c r="J77" s="67">
        <v>62</v>
      </c>
      <c r="K77" s="67">
        <v>35</v>
      </c>
      <c r="L77" s="67">
        <v>83</v>
      </c>
      <c r="M77" s="67">
        <v>77</v>
      </c>
      <c r="N77" s="67">
        <v>150</v>
      </c>
      <c r="O77" s="67">
        <v>86</v>
      </c>
      <c r="P77" s="67">
        <v>76</v>
      </c>
      <c r="Q77" s="67">
        <v>155</v>
      </c>
      <c r="R77" s="67">
        <v>99</v>
      </c>
      <c r="S77" s="67">
        <v>698</v>
      </c>
      <c r="T77" s="15">
        <f t="shared" si="8"/>
        <v>7337</v>
      </c>
      <c r="U77" s="67">
        <v>190</v>
      </c>
      <c r="V77" s="67">
        <v>1098</v>
      </c>
      <c r="W77" s="67">
        <v>198</v>
      </c>
      <c r="X77" s="67">
        <v>1700</v>
      </c>
      <c r="Y77" s="67">
        <v>178</v>
      </c>
      <c r="Z77" s="67">
        <v>31</v>
      </c>
      <c r="AA77" s="67">
        <v>2338</v>
      </c>
      <c r="AB77" s="67">
        <v>362</v>
      </c>
      <c r="AC77" s="67">
        <v>877</v>
      </c>
      <c r="AD77" s="67">
        <v>365</v>
      </c>
      <c r="AE77" s="67">
        <v>0</v>
      </c>
    </row>
    <row r="78" spans="1:31" x14ac:dyDescent="0.3">
      <c r="A78" s="39">
        <v>43616</v>
      </c>
      <c r="B78" s="14">
        <f t="shared" si="6"/>
        <v>12984</v>
      </c>
      <c r="C78" s="60">
        <v>510</v>
      </c>
      <c r="D78" s="15">
        <f t="shared" si="7"/>
        <v>3286</v>
      </c>
      <c r="E78" s="65">
        <v>5</v>
      </c>
      <c r="F78" s="65">
        <v>510</v>
      </c>
      <c r="G78" s="18">
        <v>139</v>
      </c>
      <c r="H78" s="18">
        <v>325</v>
      </c>
      <c r="I78" s="18">
        <v>184</v>
      </c>
      <c r="J78" s="18">
        <v>76</v>
      </c>
      <c r="K78" s="18">
        <v>35</v>
      </c>
      <c r="L78" s="18">
        <v>72</v>
      </c>
      <c r="M78" s="18">
        <v>101</v>
      </c>
      <c r="N78" s="18">
        <v>216</v>
      </c>
      <c r="O78" s="18">
        <v>97</v>
      </c>
      <c r="P78" s="18">
        <v>81</v>
      </c>
      <c r="Q78" s="18">
        <v>239</v>
      </c>
      <c r="R78" s="18">
        <v>115</v>
      </c>
      <c r="S78" s="18">
        <v>1091</v>
      </c>
      <c r="T78" s="15">
        <f t="shared" si="8"/>
        <v>9188</v>
      </c>
      <c r="U78" s="18">
        <v>209</v>
      </c>
      <c r="V78" s="18">
        <v>1469</v>
      </c>
      <c r="W78" s="18">
        <v>310</v>
      </c>
      <c r="X78" s="18">
        <v>1598</v>
      </c>
      <c r="Y78" s="18">
        <v>251</v>
      </c>
      <c r="Z78" s="18">
        <v>46</v>
      </c>
      <c r="AA78" s="18">
        <v>2824</v>
      </c>
      <c r="AB78" s="18">
        <v>584</v>
      </c>
      <c r="AC78" s="18">
        <v>1525</v>
      </c>
      <c r="AD78" s="18">
        <v>372</v>
      </c>
      <c r="AE78" s="18">
        <v>0</v>
      </c>
    </row>
    <row r="79" spans="1:31" x14ac:dyDescent="0.3">
      <c r="A79" s="39">
        <v>43646</v>
      </c>
      <c r="B79" s="14">
        <f t="shared" si="6"/>
        <v>10384</v>
      </c>
      <c r="C79" s="64">
        <v>708</v>
      </c>
      <c r="D79" s="15">
        <f t="shared" si="7"/>
        <v>2549</v>
      </c>
      <c r="E79" s="65">
        <v>16</v>
      </c>
      <c r="F79" s="65">
        <v>362</v>
      </c>
      <c r="G79" s="65">
        <v>81</v>
      </c>
      <c r="H79" s="65">
        <v>215</v>
      </c>
      <c r="I79" s="65">
        <v>162</v>
      </c>
      <c r="J79" s="65">
        <v>63</v>
      </c>
      <c r="K79" s="65">
        <v>46</v>
      </c>
      <c r="L79" s="65">
        <v>59</v>
      </c>
      <c r="M79" s="65">
        <v>65</v>
      </c>
      <c r="N79" s="65">
        <v>212</v>
      </c>
      <c r="O79" s="65">
        <v>77</v>
      </c>
      <c r="P79" s="65">
        <v>49</v>
      </c>
      <c r="Q79" s="65">
        <v>168</v>
      </c>
      <c r="R79" s="65">
        <v>69</v>
      </c>
      <c r="S79" s="65">
        <v>905</v>
      </c>
      <c r="T79" s="15">
        <f t="shared" si="8"/>
        <v>7127</v>
      </c>
      <c r="U79" s="65">
        <v>210</v>
      </c>
      <c r="V79" s="65">
        <v>1259</v>
      </c>
      <c r="W79" s="65">
        <v>286</v>
      </c>
      <c r="X79" s="65">
        <v>1172</v>
      </c>
      <c r="Y79" s="65">
        <v>197</v>
      </c>
      <c r="Z79" s="65">
        <v>34</v>
      </c>
      <c r="AA79" s="65">
        <v>2033</v>
      </c>
      <c r="AB79" s="65">
        <v>770</v>
      </c>
      <c r="AC79" s="65">
        <v>891</v>
      </c>
      <c r="AD79" s="65">
        <v>275</v>
      </c>
      <c r="AE79" s="65">
        <v>0</v>
      </c>
    </row>
    <row r="80" spans="1:31" x14ac:dyDescent="0.3">
      <c r="A80" s="39">
        <v>43677</v>
      </c>
      <c r="B80" s="14">
        <f t="shared" si="6"/>
        <v>10839</v>
      </c>
      <c r="C80" s="64">
        <v>325</v>
      </c>
      <c r="D80" s="15">
        <f t="shared" si="7"/>
        <v>2705</v>
      </c>
      <c r="E80" s="65">
        <v>18</v>
      </c>
      <c r="F80" s="65">
        <v>396</v>
      </c>
      <c r="G80" s="18">
        <v>79</v>
      </c>
      <c r="H80" s="18">
        <v>176</v>
      </c>
      <c r="I80" s="18">
        <v>84</v>
      </c>
      <c r="J80" s="18">
        <v>49</v>
      </c>
      <c r="K80" s="18">
        <v>33</v>
      </c>
      <c r="L80" s="18">
        <v>73</v>
      </c>
      <c r="M80" s="18">
        <v>88</v>
      </c>
      <c r="N80" s="18">
        <v>185</v>
      </c>
      <c r="O80" s="18">
        <v>84</v>
      </c>
      <c r="P80" s="18">
        <v>101</v>
      </c>
      <c r="Q80" s="18">
        <v>218</v>
      </c>
      <c r="R80" s="18">
        <v>90</v>
      </c>
      <c r="S80" s="18">
        <v>1031</v>
      </c>
      <c r="T80" s="15">
        <f t="shared" si="8"/>
        <v>7809</v>
      </c>
      <c r="U80" s="18">
        <v>197</v>
      </c>
      <c r="V80" s="18">
        <v>1562</v>
      </c>
      <c r="W80" s="18">
        <v>313</v>
      </c>
      <c r="X80" s="18">
        <v>1195</v>
      </c>
      <c r="Y80" s="18">
        <v>202</v>
      </c>
      <c r="Z80" s="18">
        <v>41</v>
      </c>
      <c r="AA80" s="18">
        <v>2252</v>
      </c>
      <c r="AB80" s="18">
        <v>566</v>
      </c>
      <c r="AC80" s="18">
        <v>1120</v>
      </c>
      <c r="AD80" s="18">
        <v>361</v>
      </c>
      <c r="AE80" s="18">
        <v>0</v>
      </c>
    </row>
    <row r="81" spans="1:31" x14ac:dyDescent="0.3">
      <c r="A81" s="39">
        <v>43708</v>
      </c>
      <c r="B81" s="14">
        <f t="shared" si="6"/>
        <v>9006</v>
      </c>
      <c r="C81" s="64">
        <v>476</v>
      </c>
      <c r="D81" s="15">
        <f t="shared" si="7"/>
        <v>1665</v>
      </c>
      <c r="E81" s="65">
        <v>10</v>
      </c>
      <c r="F81" s="65">
        <v>381</v>
      </c>
      <c r="G81" s="65">
        <v>37</v>
      </c>
      <c r="H81" s="65">
        <v>70</v>
      </c>
      <c r="I81" s="65">
        <v>33</v>
      </c>
      <c r="J81" s="65">
        <v>37</v>
      </c>
      <c r="K81" s="65">
        <v>17</v>
      </c>
      <c r="L81" s="65">
        <v>57</v>
      </c>
      <c r="M81" s="65">
        <v>31</v>
      </c>
      <c r="N81" s="65">
        <v>119</v>
      </c>
      <c r="O81" s="65">
        <v>36</v>
      </c>
      <c r="P81" s="65">
        <v>48</v>
      </c>
      <c r="Q81" s="65">
        <v>165</v>
      </c>
      <c r="R81" s="65">
        <v>49</v>
      </c>
      <c r="S81" s="65">
        <v>575</v>
      </c>
      <c r="T81" s="15">
        <f t="shared" si="8"/>
        <v>6865</v>
      </c>
      <c r="U81" s="65">
        <v>135</v>
      </c>
      <c r="V81" s="65">
        <v>1184</v>
      </c>
      <c r="W81" s="65">
        <v>128</v>
      </c>
      <c r="X81" s="65">
        <v>652</v>
      </c>
      <c r="Y81" s="65">
        <v>124</v>
      </c>
      <c r="Z81" s="65">
        <v>32</v>
      </c>
      <c r="AA81" s="65">
        <v>3254</v>
      </c>
      <c r="AB81" s="65">
        <v>351</v>
      </c>
      <c r="AC81" s="65">
        <v>799</v>
      </c>
      <c r="AD81" s="65">
        <v>206</v>
      </c>
      <c r="AE81" s="65">
        <v>0</v>
      </c>
    </row>
    <row r="82" spans="1:31" x14ac:dyDescent="0.3">
      <c r="A82" s="39">
        <v>43738</v>
      </c>
      <c r="B82" s="14">
        <f t="shared" si="6"/>
        <v>11940</v>
      </c>
      <c r="C82" s="66">
        <v>364</v>
      </c>
      <c r="D82" s="15">
        <f t="shared" si="7"/>
        <v>2495</v>
      </c>
      <c r="E82" s="67">
        <v>6</v>
      </c>
      <c r="F82" s="67">
        <v>293</v>
      </c>
      <c r="G82" s="19">
        <v>98</v>
      </c>
      <c r="H82" s="19">
        <v>256</v>
      </c>
      <c r="I82" s="19">
        <v>160</v>
      </c>
      <c r="J82" s="19">
        <v>62</v>
      </c>
      <c r="K82" s="19">
        <v>25</v>
      </c>
      <c r="L82" s="19">
        <v>56</v>
      </c>
      <c r="M82" s="19">
        <v>106</v>
      </c>
      <c r="N82" s="19">
        <v>281</v>
      </c>
      <c r="O82" s="19">
        <v>69</v>
      </c>
      <c r="P82" s="19">
        <v>73</v>
      </c>
      <c r="Q82" s="19">
        <v>185</v>
      </c>
      <c r="R82" s="19">
        <v>52</v>
      </c>
      <c r="S82" s="19">
        <v>773</v>
      </c>
      <c r="T82" s="15">
        <f t="shared" si="8"/>
        <v>9081</v>
      </c>
      <c r="U82" s="19">
        <v>188</v>
      </c>
      <c r="V82" s="19">
        <v>1230</v>
      </c>
      <c r="W82" s="19">
        <v>236</v>
      </c>
      <c r="X82" s="19">
        <v>2686</v>
      </c>
      <c r="Y82" s="19">
        <v>170</v>
      </c>
      <c r="Z82" s="19">
        <v>15</v>
      </c>
      <c r="AA82" s="19">
        <v>2557</v>
      </c>
      <c r="AB82" s="19">
        <v>545</v>
      </c>
      <c r="AC82" s="19">
        <v>1156</v>
      </c>
      <c r="AD82" s="19">
        <v>298</v>
      </c>
      <c r="AE82" s="19">
        <v>0</v>
      </c>
    </row>
    <row r="83" spans="1:31" x14ac:dyDescent="0.3">
      <c r="A83" s="39">
        <v>43768</v>
      </c>
      <c r="B83" s="14">
        <f t="shared" si="6"/>
        <v>10602</v>
      </c>
      <c r="C83" s="66">
        <v>443</v>
      </c>
      <c r="D83" s="15">
        <f t="shared" si="7"/>
        <v>2904</v>
      </c>
      <c r="E83" s="67">
        <v>23</v>
      </c>
      <c r="F83" s="67">
        <v>354</v>
      </c>
      <c r="G83" s="67">
        <v>77</v>
      </c>
      <c r="H83" s="67">
        <v>255</v>
      </c>
      <c r="I83" s="67">
        <v>123</v>
      </c>
      <c r="J83" s="67">
        <v>85</v>
      </c>
      <c r="K83" s="67">
        <v>49</v>
      </c>
      <c r="L83" s="67">
        <v>71</v>
      </c>
      <c r="M83" s="67">
        <v>112</v>
      </c>
      <c r="N83" s="67">
        <v>226</v>
      </c>
      <c r="O83" s="67">
        <v>70</v>
      </c>
      <c r="P83" s="67">
        <v>53</v>
      </c>
      <c r="Q83" s="67">
        <v>235</v>
      </c>
      <c r="R83" s="67">
        <v>89</v>
      </c>
      <c r="S83" s="67">
        <v>1082</v>
      </c>
      <c r="T83" s="15">
        <f t="shared" si="8"/>
        <v>7255</v>
      </c>
      <c r="U83" s="67">
        <v>192</v>
      </c>
      <c r="V83" s="67">
        <v>1388</v>
      </c>
      <c r="W83" s="67">
        <v>241</v>
      </c>
      <c r="X83" s="67">
        <v>1100</v>
      </c>
      <c r="Y83" s="67">
        <v>180</v>
      </c>
      <c r="Z83" s="67">
        <v>70</v>
      </c>
      <c r="AA83" s="67">
        <v>1997</v>
      </c>
      <c r="AB83" s="67">
        <v>551</v>
      </c>
      <c r="AC83" s="67">
        <v>1214</v>
      </c>
      <c r="AD83" s="67">
        <v>322</v>
      </c>
      <c r="AE83" s="67">
        <v>0</v>
      </c>
    </row>
    <row r="84" spans="1:31" x14ac:dyDescent="0.3">
      <c r="A84" s="39">
        <v>43799</v>
      </c>
      <c r="B84" s="14">
        <f t="shared" si="6"/>
        <v>8654</v>
      </c>
      <c r="C84" s="60">
        <v>342</v>
      </c>
      <c r="D84" s="15">
        <f t="shared" si="7"/>
        <v>2207</v>
      </c>
      <c r="E84" s="61">
        <v>29</v>
      </c>
      <c r="F84" s="61">
        <v>225</v>
      </c>
      <c r="G84" s="61">
        <v>90</v>
      </c>
      <c r="H84" s="61">
        <v>161</v>
      </c>
      <c r="I84" s="61">
        <v>177</v>
      </c>
      <c r="J84" s="61">
        <v>76</v>
      </c>
      <c r="K84" s="61">
        <v>47</v>
      </c>
      <c r="L84" s="61">
        <v>96</v>
      </c>
      <c r="M84" s="61">
        <v>105</v>
      </c>
      <c r="N84" s="61">
        <v>176</v>
      </c>
      <c r="O84" s="61">
        <v>63</v>
      </c>
      <c r="P84" s="61">
        <v>74</v>
      </c>
      <c r="Q84" s="61">
        <v>140</v>
      </c>
      <c r="R84" s="61">
        <v>64</v>
      </c>
      <c r="S84" s="61">
        <v>684</v>
      </c>
      <c r="T84" s="15">
        <f t="shared" si="8"/>
        <v>6105</v>
      </c>
      <c r="U84" s="61">
        <v>177</v>
      </c>
      <c r="V84" s="61">
        <v>1107</v>
      </c>
      <c r="W84" s="61">
        <v>154</v>
      </c>
      <c r="X84" s="61">
        <v>748</v>
      </c>
      <c r="Y84" s="61">
        <v>290</v>
      </c>
      <c r="Z84" s="61">
        <v>61</v>
      </c>
      <c r="AA84" s="61">
        <v>2089</v>
      </c>
      <c r="AB84" s="61">
        <v>470</v>
      </c>
      <c r="AC84" s="61">
        <v>780</v>
      </c>
      <c r="AD84" s="61">
        <v>229</v>
      </c>
      <c r="AE84" s="61">
        <v>0</v>
      </c>
    </row>
    <row r="85" spans="1:31" x14ac:dyDescent="0.3">
      <c r="A85" s="39">
        <v>43830</v>
      </c>
      <c r="B85" s="14">
        <f t="shared" si="6"/>
        <v>6906</v>
      </c>
      <c r="C85" s="60">
        <v>210</v>
      </c>
      <c r="D85" s="15">
        <f t="shared" si="7"/>
        <v>1646</v>
      </c>
      <c r="E85" s="61">
        <v>9</v>
      </c>
      <c r="F85" s="61">
        <v>217</v>
      </c>
      <c r="G85" s="61">
        <v>48</v>
      </c>
      <c r="H85" s="61">
        <v>151</v>
      </c>
      <c r="I85" s="61">
        <v>73</v>
      </c>
      <c r="J85" s="61">
        <v>42</v>
      </c>
      <c r="K85" s="61">
        <v>32</v>
      </c>
      <c r="L85" s="61">
        <v>55</v>
      </c>
      <c r="M85" s="61">
        <v>40</v>
      </c>
      <c r="N85" s="61">
        <v>113</v>
      </c>
      <c r="O85" s="61">
        <v>51</v>
      </c>
      <c r="P85" s="61">
        <v>59</v>
      </c>
      <c r="Q85" s="61">
        <v>131</v>
      </c>
      <c r="R85" s="61">
        <v>40</v>
      </c>
      <c r="S85" s="61">
        <v>585</v>
      </c>
      <c r="T85" s="15">
        <f t="shared" si="8"/>
        <v>5050</v>
      </c>
      <c r="U85" s="61">
        <v>107</v>
      </c>
      <c r="V85" s="61">
        <v>853</v>
      </c>
      <c r="W85" s="61">
        <v>107</v>
      </c>
      <c r="X85" s="61">
        <v>641</v>
      </c>
      <c r="Y85" s="61">
        <v>130</v>
      </c>
      <c r="Z85" s="61">
        <v>27</v>
      </c>
      <c r="AA85" s="61">
        <v>1931</v>
      </c>
      <c r="AB85" s="61">
        <v>347</v>
      </c>
      <c r="AC85" s="61">
        <v>699</v>
      </c>
      <c r="AD85" s="61">
        <v>208</v>
      </c>
      <c r="AE85" s="61">
        <v>0</v>
      </c>
    </row>
    <row r="86" spans="1:31" x14ac:dyDescent="0.3">
      <c r="A86" s="39">
        <v>43861</v>
      </c>
      <c r="B86" s="59">
        <f t="shared" si="6"/>
        <v>11743</v>
      </c>
      <c r="C86" s="60">
        <v>757</v>
      </c>
      <c r="D86" s="15">
        <f t="shared" si="7"/>
        <v>2907</v>
      </c>
      <c r="E86" s="61">
        <v>11</v>
      </c>
      <c r="F86" s="61">
        <v>325</v>
      </c>
      <c r="G86" s="61">
        <v>70</v>
      </c>
      <c r="H86" s="61">
        <v>223</v>
      </c>
      <c r="I86" s="61">
        <v>221</v>
      </c>
      <c r="J86" s="61">
        <v>90</v>
      </c>
      <c r="K86" s="61">
        <v>46</v>
      </c>
      <c r="L86" s="61">
        <v>79</v>
      </c>
      <c r="M86" s="61">
        <v>105</v>
      </c>
      <c r="N86" s="61">
        <v>255</v>
      </c>
      <c r="O86" s="61">
        <v>90</v>
      </c>
      <c r="P86" s="61">
        <v>61</v>
      </c>
      <c r="Q86" s="61">
        <v>171</v>
      </c>
      <c r="R86" s="61">
        <v>98</v>
      </c>
      <c r="S86" s="61">
        <v>1062</v>
      </c>
      <c r="T86" s="15">
        <f t="shared" si="8"/>
        <v>8079</v>
      </c>
      <c r="U86" s="61">
        <v>174</v>
      </c>
      <c r="V86" s="61">
        <v>972</v>
      </c>
      <c r="W86" s="61">
        <v>174</v>
      </c>
      <c r="X86" s="61">
        <v>1213</v>
      </c>
      <c r="Y86" s="61">
        <v>182</v>
      </c>
      <c r="Z86" s="61">
        <v>32</v>
      </c>
      <c r="AA86" s="61">
        <v>3866</v>
      </c>
      <c r="AB86" s="61">
        <v>406</v>
      </c>
      <c r="AC86" s="61">
        <v>831</v>
      </c>
      <c r="AD86" s="61">
        <v>229</v>
      </c>
      <c r="AE86" s="61">
        <v>0</v>
      </c>
    </row>
    <row r="87" spans="1:31" x14ac:dyDescent="0.3">
      <c r="A87" s="39">
        <v>43889</v>
      </c>
      <c r="B87" s="59">
        <f t="shared" si="6"/>
        <v>9585</v>
      </c>
      <c r="C87" s="60">
        <v>374</v>
      </c>
      <c r="D87" s="15">
        <f t="shared" si="7"/>
        <v>2471</v>
      </c>
      <c r="E87" s="61">
        <v>7</v>
      </c>
      <c r="F87" s="61">
        <v>283</v>
      </c>
      <c r="G87" s="61">
        <v>103</v>
      </c>
      <c r="H87" s="61">
        <v>199</v>
      </c>
      <c r="I87" s="61">
        <v>184</v>
      </c>
      <c r="J87" s="61">
        <v>73</v>
      </c>
      <c r="K87" s="61">
        <v>16</v>
      </c>
      <c r="L87" s="61">
        <v>88</v>
      </c>
      <c r="M87" s="61">
        <v>63</v>
      </c>
      <c r="N87" s="61">
        <v>161</v>
      </c>
      <c r="O87" s="61">
        <v>74</v>
      </c>
      <c r="P87" s="61">
        <v>36</v>
      </c>
      <c r="Q87" s="61">
        <v>169</v>
      </c>
      <c r="R87" s="61">
        <v>69</v>
      </c>
      <c r="S87" s="61">
        <v>946</v>
      </c>
      <c r="T87" s="15">
        <f t="shared" si="8"/>
        <v>6740</v>
      </c>
      <c r="U87" s="61">
        <v>166</v>
      </c>
      <c r="V87" s="61">
        <v>1066</v>
      </c>
      <c r="W87" s="61">
        <v>204</v>
      </c>
      <c r="X87" s="61">
        <v>1447</v>
      </c>
      <c r="Y87" s="61">
        <v>143</v>
      </c>
      <c r="Z87" s="61">
        <v>31</v>
      </c>
      <c r="AA87" s="61">
        <v>2178</v>
      </c>
      <c r="AB87" s="61">
        <v>419</v>
      </c>
      <c r="AC87" s="61">
        <v>782</v>
      </c>
      <c r="AD87" s="61">
        <v>304</v>
      </c>
      <c r="AE87" s="61">
        <v>0</v>
      </c>
    </row>
    <row r="88" spans="1:31" x14ac:dyDescent="0.3">
      <c r="A88" s="39">
        <v>43921</v>
      </c>
      <c r="B88" s="59">
        <f t="shared" si="6"/>
        <v>7356</v>
      </c>
      <c r="C88" s="66">
        <v>248</v>
      </c>
      <c r="D88" s="15">
        <f t="shared" si="7"/>
        <v>1834</v>
      </c>
      <c r="E88" s="67">
        <v>9</v>
      </c>
      <c r="F88" s="67">
        <v>201</v>
      </c>
      <c r="G88" s="19">
        <v>38</v>
      </c>
      <c r="H88" s="19">
        <v>158</v>
      </c>
      <c r="I88" s="19">
        <v>105</v>
      </c>
      <c r="J88" s="19">
        <v>67</v>
      </c>
      <c r="K88" s="19">
        <v>20</v>
      </c>
      <c r="L88" s="19">
        <v>83</v>
      </c>
      <c r="M88" s="19">
        <v>47</v>
      </c>
      <c r="N88" s="19">
        <v>167</v>
      </c>
      <c r="O88" s="19">
        <v>50</v>
      </c>
      <c r="P88" s="19">
        <v>49</v>
      </c>
      <c r="Q88" s="19">
        <v>132</v>
      </c>
      <c r="R88" s="19">
        <v>50</v>
      </c>
      <c r="S88" s="19">
        <v>658</v>
      </c>
      <c r="T88" s="15">
        <f t="shared" si="8"/>
        <v>5274</v>
      </c>
      <c r="U88" s="19">
        <v>118</v>
      </c>
      <c r="V88" s="19">
        <v>772</v>
      </c>
      <c r="W88" s="19">
        <v>123</v>
      </c>
      <c r="X88" s="19">
        <v>942</v>
      </c>
      <c r="Y88" s="19">
        <v>148</v>
      </c>
      <c r="Z88" s="19">
        <v>41</v>
      </c>
      <c r="AA88" s="19">
        <v>1622</v>
      </c>
      <c r="AB88" s="19">
        <v>442</v>
      </c>
      <c r="AC88" s="19">
        <v>727</v>
      </c>
      <c r="AD88" s="19">
        <v>339</v>
      </c>
      <c r="AE88" s="19">
        <v>0</v>
      </c>
    </row>
    <row r="89" spans="1:31" x14ac:dyDescent="0.3">
      <c r="A89" s="39">
        <v>43951</v>
      </c>
      <c r="B89" s="59">
        <f t="shared" si="6"/>
        <v>3040</v>
      </c>
      <c r="C89" s="66">
        <v>184</v>
      </c>
      <c r="D89" s="15">
        <f t="shared" si="7"/>
        <v>699</v>
      </c>
      <c r="E89" s="67">
        <v>2</v>
      </c>
      <c r="F89" s="67">
        <v>107</v>
      </c>
      <c r="G89" s="67">
        <v>10</v>
      </c>
      <c r="H89" s="67">
        <v>44</v>
      </c>
      <c r="I89" s="67">
        <v>53</v>
      </c>
      <c r="J89" s="67">
        <v>13</v>
      </c>
      <c r="K89" s="67">
        <v>8</v>
      </c>
      <c r="L89" s="67">
        <v>29</v>
      </c>
      <c r="M89" s="67">
        <v>13</v>
      </c>
      <c r="N89" s="67">
        <v>51</v>
      </c>
      <c r="O89" s="67">
        <v>25</v>
      </c>
      <c r="P89" s="67">
        <v>15</v>
      </c>
      <c r="Q89" s="67">
        <v>48</v>
      </c>
      <c r="R89" s="67">
        <v>34</v>
      </c>
      <c r="S89" s="67">
        <v>247</v>
      </c>
      <c r="T89" s="15">
        <f t="shared" si="8"/>
        <v>2157</v>
      </c>
      <c r="U89" s="67">
        <v>31</v>
      </c>
      <c r="V89" s="67">
        <v>277</v>
      </c>
      <c r="W89" s="67">
        <v>28</v>
      </c>
      <c r="X89" s="67">
        <v>54</v>
      </c>
      <c r="Y89" s="67">
        <v>89</v>
      </c>
      <c r="Z89" s="67">
        <v>34</v>
      </c>
      <c r="AA89" s="67">
        <v>999</v>
      </c>
      <c r="AB89" s="67">
        <v>182</v>
      </c>
      <c r="AC89" s="67">
        <v>378</v>
      </c>
      <c r="AD89" s="67">
        <v>85</v>
      </c>
      <c r="AE89" s="67">
        <v>0</v>
      </c>
    </row>
    <row r="90" spans="1:31" x14ac:dyDescent="0.3">
      <c r="A90" s="39">
        <v>43982</v>
      </c>
      <c r="B90" s="59">
        <f t="shared" si="6"/>
        <v>6761</v>
      </c>
      <c r="C90" s="64">
        <v>354</v>
      </c>
      <c r="D90" s="15">
        <f t="shared" si="7"/>
        <v>2154</v>
      </c>
      <c r="E90" s="65">
        <v>9</v>
      </c>
      <c r="F90" s="65">
        <v>465</v>
      </c>
      <c r="G90" s="18">
        <v>35</v>
      </c>
      <c r="H90" s="18">
        <v>226</v>
      </c>
      <c r="I90" s="18">
        <v>142</v>
      </c>
      <c r="J90" s="18">
        <v>43</v>
      </c>
      <c r="K90" s="18">
        <v>27</v>
      </c>
      <c r="L90" s="18">
        <v>40</v>
      </c>
      <c r="M90" s="18">
        <v>52</v>
      </c>
      <c r="N90" s="18">
        <v>211</v>
      </c>
      <c r="O90" s="18">
        <v>40</v>
      </c>
      <c r="P90" s="18">
        <v>22</v>
      </c>
      <c r="Q90" s="18">
        <v>94</v>
      </c>
      <c r="R90" s="18">
        <v>28</v>
      </c>
      <c r="S90" s="18">
        <v>720</v>
      </c>
      <c r="T90" s="15">
        <f t="shared" si="8"/>
        <v>4253</v>
      </c>
      <c r="U90" s="18">
        <v>68</v>
      </c>
      <c r="V90" s="18">
        <v>746</v>
      </c>
      <c r="W90" s="18">
        <v>91</v>
      </c>
      <c r="X90" s="18">
        <v>224</v>
      </c>
      <c r="Y90" s="18">
        <v>112</v>
      </c>
      <c r="Z90" s="18">
        <v>32</v>
      </c>
      <c r="AA90" s="18">
        <v>1968</v>
      </c>
      <c r="AB90" s="18">
        <v>278</v>
      </c>
      <c r="AC90" s="18">
        <v>570</v>
      </c>
      <c r="AD90" s="18">
        <v>164</v>
      </c>
      <c r="AE90" s="18">
        <v>0</v>
      </c>
    </row>
    <row r="91" spans="1:31" x14ac:dyDescent="0.3">
      <c r="A91" s="39">
        <v>44012</v>
      </c>
      <c r="B91" s="59">
        <f t="shared" si="6"/>
        <v>10060</v>
      </c>
      <c r="C91" s="64">
        <v>718</v>
      </c>
      <c r="D91" s="15">
        <f t="shared" si="7"/>
        <v>2414</v>
      </c>
      <c r="E91" s="65">
        <v>16</v>
      </c>
      <c r="F91" s="65">
        <v>240</v>
      </c>
      <c r="G91" s="65">
        <v>57</v>
      </c>
      <c r="H91" s="65">
        <v>349</v>
      </c>
      <c r="I91" s="65">
        <v>128</v>
      </c>
      <c r="J91" s="65">
        <v>47</v>
      </c>
      <c r="K91" s="65">
        <v>21</v>
      </c>
      <c r="L91" s="65">
        <v>60</v>
      </c>
      <c r="M91" s="65">
        <v>58</v>
      </c>
      <c r="N91" s="65">
        <v>187</v>
      </c>
      <c r="O91" s="65">
        <v>73</v>
      </c>
      <c r="P91" s="65">
        <v>39</v>
      </c>
      <c r="Q91" s="65">
        <v>160</v>
      </c>
      <c r="R91" s="65">
        <v>124</v>
      </c>
      <c r="S91" s="65">
        <v>855</v>
      </c>
      <c r="T91" s="15">
        <f t="shared" si="8"/>
        <v>6928</v>
      </c>
      <c r="U91" s="65">
        <v>132</v>
      </c>
      <c r="V91" s="65">
        <v>1039</v>
      </c>
      <c r="W91" s="65">
        <v>158</v>
      </c>
      <c r="X91" s="65">
        <v>773</v>
      </c>
      <c r="Y91" s="65">
        <v>173</v>
      </c>
      <c r="Z91" s="65">
        <v>28</v>
      </c>
      <c r="AA91" s="65">
        <v>2962</v>
      </c>
      <c r="AB91" s="65">
        <v>737</v>
      </c>
      <c r="AC91" s="65">
        <v>725</v>
      </c>
      <c r="AD91" s="65">
        <v>201</v>
      </c>
      <c r="AE91" s="65">
        <v>0</v>
      </c>
    </row>
    <row r="92" spans="1:31" x14ac:dyDescent="0.3">
      <c r="A92" s="39">
        <v>44043</v>
      </c>
      <c r="B92" s="59">
        <f t="shared" si="6"/>
        <v>9060</v>
      </c>
      <c r="C92" s="66">
        <v>225</v>
      </c>
      <c r="D92" s="15">
        <f t="shared" si="7"/>
        <v>2361</v>
      </c>
      <c r="E92" s="67">
        <v>21</v>
      </c>
      <c r="F92" s="67">
        <v>261</v>
      </c>
      <c r="G92" s="19">
        <v>63</v>
      </c>
      <c r="H92" s="19">
        <v>218</v>
      </c>
      <c r="I92" s="19">
        <v>194</v>
      </c>
      <c r="J92" s="19">
        <v>34</v>
      </c>
      <c r="K92" s="19">
        <v>21</v>
      </c>
      <c r="L92" s="19">
        <v>85</v>
      </c>
      <c r="M92" s="19">
        <v>81</v>
      </c>
      <c r="N92" s="19">
        <v>214</v>
      </c>
      <c r="O92" s="19">
        <v>57</v>
      </c>
      <c r="P92" s="19">
        <v>34</v>
      </c>
      <c r="Q92" s="19">
        <v>261</v>
      </c>
      <c r="R92" s="19">
        <v>125</v>
      </c>
      <c r="S92" s="19">
        <v>692</v>
      </c>
      <c r="T92" s="15">
        <f t="shared" si="8"/>
        <v>6474</v>
      </c>
      <c r="U92" s="19">
        <v>155</v>
      </c>
      <c r="V92" s="19">
        <v>847</v>
      </c>
      <c r="W92" s="19">
        <v>130</v>
      </c>
      <c r="X92" s="19">
        <v>913</v>
      </c>
      <c r="Y92" s="19">
        <v>117</v>
      </c>
      <c r="Z92" s="19">
        <v>19</v>
      </c>
      <c r="AA92" s="19">
        <v>2819</v>
      </c>
      <c r="AB92" s="19">
        <v>421</v>
      </c>
      <c r="AC92" s="19">
        <v>806</v>
      </c>
      <c r="AD92" s="19">
        <v>247</v>
      </c>
      <c r="AE92" s="19">
        <v>0</v>
      </c>
    </row>
    <row r="93" spans="1:31" x14ac:dyDescent="0.3">
      <c r="A93" s="39">
        <v>44074</v>
      </c>
      <c r="B93" s="59">
        <f t="shared" si="6"/>
        <v>8946</v>
      </c>
      <c r="C93" s="66">
        <v>323</v>
      </c>
      <c r="D93" s="15">
        <f t="shared" si="7"/>
        <v>1928</v>
      </c>
      <c r="E93" s="67">
        <v>7</v>
      </c>
      <c r="F93" s="67">
        <v>307</v>
      </c>
      <c r="G93" s="67">
        <v>30</v>
      </c>
      <c r="H93" s="67">
        <v>91</v>
      </c>
      <c r="I93" s="67">
        <v>49</v>
      </c>
      <c r="J93" s="67">
        <v>32</v>
      </c>
      <c r="K93" s="67">
        <v>16</v>
      </c>
      <c r="L93" s="67">
        <v>50</v>
      </c>
      <c r="M93" s="67">
        <v>40</v>
      </c>
      <c r="N93" s="67">
        <v>156</v>
      </c>
      <c r="O93" s="67">
        <v>61</v>
      </c>
      <c r="P93" s="67">
        <v>32</v>
      </c>
      <c r="Q93" s="67">
        <v>350</v>
      </c>
      <c r="R93" s="67">
        <v>65</v>
      </c>
      <c r="S93" s="67">
        <v>642</v>
      </c>
      <c r="T93" s="15">
        <f t="shared" si="8"/>
        <v>6695</v>
      </c>
      <c r="U93" s="67">
        <v>126</v>
      </c>
      <c r="V93" s="67">
        <v>1098</v>
      </c>
      <c r="W93" s="67">
        <v>136</v>
      </c>
      <c r="X93" s="67">
        <v>607</v>
      </c>
      <c r="Y93" s="67">
        <v>154</v>
      </c>
      <c r="Z93" s="67">
        <v>35</v>
      </c>
      <c r="AA93" s="67">
        <v>3275</v>
      </c>
      <c r="AB93" s="67">
        <v>340</v>
      </c>
      <c r="AC93" s="67">
        <v>663</v>
      </c>
      <c r="AD93" s="67">
        <v>261</v>
      </c>
      <c r="AE93" s="67">
        <v>0</v>
      </c>
    </row>
    <row r="94" spans="1:31" x14ac:dyDescent="0.3">
      <c r="A94" s="39">
        <v>44104</v>
      </c>
      <c r="B94" s="59">
        <f t="shared" si="6"/>
        <v>11472</v>
      </c>
      <c r="C94" s="66">
        <v>213</v>
      </c>
      <c r="D94" s="15">
        <f t="shared" si="7"/>
        <v>2994</v>
      </c>
      <c r="E94" s="67">
        <v>14</v>
      </c>
      <c r="F94" s="67">
        <v>283</v>
      </c>
      <c r="G94" s="19">
        <v>106</v>
      </c>
      <c r="H94" s="19">
        <v>335</v>
      </c>
      <c r="I94" s="19">
        <v>170</v>
      </c>
      <c r="J94" s="19">
        <v>71</v>
      </c>
      <c r="K94" s="19">
        <v>19</v>
      </c>
      <c r="L94" s="19">
        <v>89</v>
      </c>
      <c r="M94" s="19">
        <v>142</v>
      </c>
      <c r="N94" s="19">
        <v>267</v>
      </c>
      <c r="O94" s="19">
        <v>84</v>
      </c>
      <c r="P94" s="19">
        <v>41</v>
      </c>
      <c r="Q94" s="19">
        <v>328</v>
      </c>
      <c r="R94" s="19">
        <v>55</v>
      </c>
      <c r="S94" s="19">
        <v>990</v>
      </c>
      <c r="T94" s="15">
        <f t="shared" si="8"/>
        <v>8265</v>
      </c>
      <c r="U94" s="19">
        <v>215</v>
      </c>
      <c r="V94" s="19">
        <v>981</v>
      </c>
      <c r="W94" s="19">
        <v>158</v>
      </c>
      <c r="X94" s="19">
        <v>1817</v>
      </c>
      <c r="Y94" s="19">
        <v>187</v>
      </c>
      <c r="Z94" s="19">
        <v>31</v>
      </c>
      <c r="AA94" s="19">
        <v>3024</v>
      </c>
      <c r="AB94" s="19">
        <v>459</v>
      </c>
      <c r="AC94" s="19">
        <v>1136</v>
      </c>
      <c r="AD94" s="19">
        <v>257</v>
      </c>
      <c r="AE94" s="19">
        <v>0</v>
      </c>
    </row>
    <row r="95" spans="1:31" x14ac:dyDescent="0.3">
      <c r="A95" s="39">
        <v>44134</v>
      </c>
      <c r="B95" s="59">
        <f t="shared" si="6"/>
        <v>11158</v>
      </c>
      <c r="C95" s="66">
        <v>244</v>
      </c>
      <c r="D95" s="15">
        <f t="shared" si="7"/>
        <v>3292</v>
      </c>
      <c r="E95" s="67">
        <v>17</v>
      </c>
      <c r="F95" s="67">
        <v>312</v>
      </c>
      <c r="G95" s="67">
        <v>116</v>
      </c>
      <c r="H95" s="67">
        <v>327</v>
      </c>
      <c r="I95" s="67">
        <v>194</v>
      </c>
      <c r="J95" s="67">
        <v>68</v>
      </c>
      <c r="K95" s="67">
        <v>49</v>
      </c>
      <c r="L95" s="67">
        <v>77</v>
      </c>
      <c r="M95" s="67">
        <v>112</v>
      </c>
      <c r="N95" s="67">
        <v>328</v>
      </c>
      <c r="O95" s="67">
        <v>128</v>
      </c>
      <c r="P95" s="67">
        <v>37</v>
      </c>
      <c r="Q95" s="67">
        <v>225</v>
      </c>
      <c r="R95" s="67">
        <v>56</v>
      </c>
      <c r="S95" s="67">
        <v>1246</v>
      </c>
      <c r="T95" s="15">
        <f t="shared" si="8"/>
        <v>7622</v>
      </c>
      <c r="U95" s="67">
        <v>237</v>
      </c>
      <c r="V95" s="67">
        <v>1573</v>
      </c>
      <c r="W95" s="67">
        <v>170</v>
      </c>
      <c r="X95" s="67">
        <v>820</v>
      </c>
      <c r="Y95" s="67">
        <v>160</v>
      </c>
      <c r="Z95" s="67">
        <v>35</v>
      </c>
      <c r="AA95" s="67">
        <v>2439</v>
      </c>
      <c r="AB95" s="67">
        <v>808</v>
      </c>
      <c r="AC95" s="67">
        <v>1131</v>
      </c>
      <c r="AD95" s="67">
        <v>249</v>
      </c>
      <c r="AE95" s="67">
        <v>0</v>
      </c>
    </row>
    <row r="96" spans="1:31" x14ac:dyDescent="0.3">
      <c r="A96" s="39">
        <v>44165</v>
      </c>
      <c r="B96" s="59">
        <f t="shared" si="6"/>
        <v>8167</v>
      </c>
      <c r="C96" s="66">
        <v>289</v>
      </c>
      <c r="D96" s="15">
        <f t="shared" si="7"/>
        <v>2290</v>
      </c>
      <c r="E96" s="67">
        <v>11</v>
      </c>
      <c r="F96" s="67">
        <v>210</v>
      </c>
      <c r="G96" s="19">
        <v>111</v>
      </c>
      <c r="H96" s="19">
        <v>210</v>
      </c>
      <c r="I96" s="19">
        <v>121</v>
      </c>
      <c r="J96" s="19">
        <v>60</v>
      </c>
      <c r="K96" s="19">
        <v>31</v>
      </c>
      <c r="L96" s="19">
        <v>64</v>
      </c>
      <c r="M96" s="19">
        <v>83</v>
      </c>
      <c r="N96" s="19">
        <v>212</v>
      </c>
      <c r="O96" s="19">
        <v>61</v>
      </c>
      <c r="P96" s="19">
        <v>28</v>
      </c>
      <c r="Q96" s="19">
        <v>198</v>
      </c>
      <c r="R96" s="19">
        <v>70</v>
      </c>
      <c r="S96" s="19">
        <v>820</v>
      </c>
      <c r="T96" s="15">
        <f t="shared" si="8"/>
        <v>5588</v>
      </c>
      <c r="U96" s="19">
        <v>139</v>
      </c>
      <c r="V96" s="19">
        <v>1185</v>
      </c>
      <c r="W96" s="19">
        <v>100</v>
      </c>
      <c r="X96" s="19">
        <v>409</v>
      </c>
      <c r="Y96" s="19">
        <v>179</v>
      </c>
      <c r="Z96" s="19">
        <v>28</v>
      </c>
      <c r="AA96" s="19">
        <v>1950</v>
      </c>
      <c r="AB96" s="19">
        <v>512</v>
      </c>
      <c r="AC96" s="19">
        <v>846</v>
      </c>
      <c r="AD96" s="19">
        <v>240</v>
      </c>
      <c r="AE96" s="19">
        <v>0</v>
      </c>
    </row>
    <row r="97" spans="1:31" x14ac:dyDescent="0.3">
      <c r="A97" s="39">
        <v>44196</v>
      </c>
      <c r="B97" s="59">
        <f t="shared" si="6"/>
        <v>7601</v>
      </c>
      <c r="C97" s="66">
        <v>162</v>
      </c>
      <c r="D97" s="15">
        <f t="shared" si="7"/>
        <v>1988</v>
      </c>
      <c r="E97" s="67">
        <v>8</v>
      </c>
      <c r="F97" s="67">
        <v>135</v>
      </c>
      <c r="G97" s="67">
        <v>66</v>
      </c>
      <c r="H97" s="67">
        <v>214</v>
      </c>
      <c r="I97" s="67">
        <v>133</v>
      </c>
      <c r="J97" s="67">
        <v>36</v>
      </c>
      <c r="K97" s="67">
        <v>21</v>
      </c>
      <c r="L97" s="67">
        <v>67</v>
      </c>
      <c r="M97" s="67">
        <v>71</v>
      </c>
      <c r="N97" s="67">
        <v>130</v>
      </c>
      <c r="O97" s="67">
        <v>71</v>
      </c>
      <c r="P97" s="67">
        <v>39</v>
      </c>
      <c r="Q97" s="67">
        <v>174</v>
      </c>
      <c r="R97" s="67">
        <v>33</v>
      </c>
      <c r="S97" s="67">
        <v>790</v>
      </c>
      <c r="T97" s="15">
        <f t="shared" si="8"/>
        <v>5451</v>
      </c>
      <c r="U97" s="67">
        <v>161</v>
      </c>
      <c r="V97" s="67">
        <v>1009</v>
      </c>
      <c r="W97" s="67">
        <v>116</v>
      </c>
      <c r="X97" s="67">
        <v>590</v>
      </c>
      <c r="Y97" s="67">
        <v>219</v>
      </c>
      <c r="Z97" s="67">
        <v>46</v>
      </c>
      <c r="AA97" s="67">
        <v>1641</v>
      </c>
      <c r="AB97" s="67">
        <v>481</v>
      </c>
      <c r="AC97" s="67">
        <v>899</v>
      </c>
      <c r="AD97" s="67">
        <v>289</v>
      </c>
      <c r="AE97" s="67">
        <v>0</v>
      </c>
    </row>
    <row r="98" spans="1:31" x14ac:dyDescent="0.3">
      <c r="A98" s="39">
        <v>44227</v>
      </c>
      <c r="B98" s="62">
        <f t="shared" ref="B98:B109" si="9">C98+D98+T98+AE98</f>
        <v>9561</v>
      </c>
      <c r="C98" s="68">
        <v>665</v>
      </c>
      <c r="D98" s="57">
        <f t="shared" ref="D98:D109" si="10">SUM(E98:S98)</f>
        <v>2567</v>
      </c>
      <c r="E98" s="69">
        <v>12</v>
      </c>
      <c r="F98" s="69">
        <v>200</v>
      </c>
      <c r="G98" s="17">
        <v>75</v>
      </c>
      <c r="H98" s="17">
        <v>263</v>
      </c>
      <c r="I98" s="17">
        <v>109</v>
      </c>
      <c r="J98" s="17">
        <v>59</v>
      </c>
      <c r="K98" s="17">
        <v>42</v>
      </c>
      <c r="L98" s="17">
        <v>71</v>
      </c>
      <c r="M98" s="17">
        <v>110</v>
      </c>
      <c r="N98" s="17">
        <v>346</v>
      </c>
      <c r="O98" s="17">
        <v>74</v>
      </c>
      <c r="P98" s="17">
        <v>50</v>
      </c>
      <c r="Q98" s="17">
        <v>301</v>
      </c>
      <c r="R98" s="17">
        <v>71</v>
      </c>
      <c r="S98" s="17">
        <v>784</v>
      </c>
      <c r="T98" s="57">
        <f t="shared" ref="T98:T109" si="11">SUM(U98:AD98)</f>
        <v>6329</v>
      </c>
      <c r="U98" s="17">
        <v>118</v>
      </c>
      <c r="V98" s="17">
        <v>844</v>
      </c>
      <c r="W98" s="17">
        <v>104</v>
      </c>
      <c r="X98" s="17">
        <v>680</v>
      </c>
      <c r="Y98" s="17">
        <v>120</v>
      </c>
      <c r="Z98" s="17">
        <v>23</v>
      </c>
      <c r="AA98" s="17">
        <v>3286</v>
      </c>
      <c r="AB98" s="17">
        <v>349</v>
      </c>
      <c r="AC98" s="17">
        <v>604</v>
      </c>
      <c r="AD98" s="17">
        <v>201</v>
      </c>
      <c r="AE98" s="17">
        <v>0</v>
      </c>
    </row>
    <row r="99" spans="1:31" x14ac:dyDescent="0.3">
      <c r="A99" s="39">
        <v>44255</v>
      </c>
      <c r="B99" s="62">
        <f t="shared" si="9"/>
        <v>7422</v>
      </c>
      <c r="C99" s="68">
        <v>208</v>
      </c>
      <c r="D99" s="57">
        <f t="shared" si="10"/>
        <v>2518</v>
      </c>
      <c r="E99" s="69">
        <v>17</v>
      </c>
      <c r="F99" s="69">
        <v>186</v>
      </c>
      <c r="G99" s="69">
        <v>94</v>
      </c>
      <c r="H99" s="69">
        <v>261</v>
      </c>
      <c r="I99" s="69">
        <v>141</v>
      </c>
      <c r="J99" s="69">
        <v>54</v>
      </c>
      <c r="K99" s="69">
        <v>25</v>
      </c>
      <c r="L99" s="69">
        <v>73</v>
      </c>
      <c r="M99" s="69">
        <v>117</v>
      </c>
      <c r="N99" s="69">
        <v>214</v>
      </c>
      <c r="O99" s="69">
        <v>88</v>
      </c>
      <c r="P99" s="69">
        <v>43</v>
      </c>
      <c r="Q99" s="69">
        <v>174</v>
      </c>
      <c r="R99" s="69">
        <v>73</v>
      </c>
      <c r="S99" s="69">
        <v>958</v>
      </c>
      <c r="T99" s="57">
        <f t="shared" si="11"/>
        <v>4696</v>
      </c>
      <c r="U99" s="69">
        <v>130</v>
      </c>
      <c r="V99" s="69">
        <v>841</v>
      </c>
      <c r="W99" s="69">
        <v>131</v>
      </c>
      <c r="X99" s="69">
        <v>371</v>
      </c>
      <c r="Y99" s="69">
        <v>137</v>
      </c>
      <c r="Z99" s="69">
        <v>19</v>
      </c>
      <c r="AA99" s="69">
        <v>1965</v>
      </c>
      <c r="AB99" s="69">
        <v>455</v>
      </c>
      <c r="AC99" s="69">
        <v>530</v>
      </c>
      <c r="AD99" s="69">
        <v>117</v>
      </c>
      <c r="AE99" s="69">
        <v>0</v>
      </c>
    </row>
    <row r="100" spans="1:31" x14ac:dyDescent="0.3">
      <c r="A100" s="39">
        <v>44286</v>
      </c>
      <c r="B100" s="62">
        <f t="shared" si="9"/>
        <v>11234</v>
      </c>
      <c r="C100" s="56"/>
      <c r="D100" s="57">
        <f t="shared" si="10"/>
        <v>3673</v>
      </c>
      <c r="E100" s="69">
        <v>20</v>
      </c>
      <c r="F100" s="69">
        <v>236</v>
      </c>
      <c r="G100" s="17">
        <v>139</v>
      </c>
      <c r="H100" s="17">
        <v>340</v>
      </c>
      <c r="I100" s="17">
        <v>242</v>
      </c>
      <c r="J100" s="17">
        <v>97</v>
      </c>
      <c r="K100" s="17">
        <v>44</v>
      </c>
      <c r="L100" s="17">
        <v>221</v>
      </c>
      <c r="M100" s="17">
        <v>103</v>
      </c>
      <c r="N100" s="17">
        <v>394</v>
      </c>
      <c r="O100" s="17">
        <v>135</v>
      </c>
      <c r="P100" s="17">
        <v>78</v>
      </c>
      <c r="Q100" s="17">
        <v>306</v>
      </c>
      <c r="R100" s="17">
        <v>69</v>
      </c>
      <c r="S100" s="17">
        <v>1249</v>
      </c>
      <c r="T100" s="57">
        <f t="shared" si="11"/>
        <v>7561</v>
      </c>
      <c r="U100" s="17">
        <v>241</v>
      </c>
      <c r="V100" s="17">
        <v>1428</v>
      </c>
      <c r="W100" s="17">
        <v>224</v>
      </c>
      <c r="X100" s="17">
        <v>985</v>
      </c>
      <c r="Y100" s="17">
        <v>192</v>
      </c>
      <c r="Z100" s="17">
        <v>44</v>
      </c>
      <c r="AA100" s="17">
        <v>2694</v>
      </c>
      <c r="AB100" s="17">
        <v>637</v>
      </c>
      <c r="AC100" s="17">
        <v>782</v>
      </c>
      <c r="AD100" s="17">
        <v>334</v>
      </c>
      <c r="AE100" s="17">
        <v>0</v>
      </c>
    </row>
    <row r="101" spans="1:31" x14ac:dyDescent="0.3">
      <c r="A101" s="39">
        <v>44316</v>
      </c>
      <c r="B101" s="62">
        <f t="shared" si="9"/>
        <v>12118</v>
      </c>
      <c r="C101" s="56"/>
      <c r="D101" s="57">
        <f t="shared" si="10"/>
        <v>3527</v>
      </c>
      <c r="E101" s="69">
        <v>19</v>
      </c>
      <c r="F101" s="69">
        <v>376</v>
      </c>
      <c r="G101" s="69">
        <v>159</v>
      </c>
      <c r="H101" s="69">
        <v>294</v>
      </c>
      <c r="I101" s="69">
        <v>196</v>
      </c>
      <c r="J101" s="69">
        <v>70</v>
      </c>
      <c r="K101" s="69">
        <v>51</v>
      </c>
      <c r="L101" s="69">
        <v>97</v>
      </c>
      <c r="M101" s="69">
        <v>131</v>
      </c>
      <c r="N101" s="69">
        <v>340</v>
      </c>
      <c r="O101" s="69">
        <v>112</v>
      </c>
      <c r="P101" s="69">
        <v>60</v>
      </c>
      <c r="Q101" s="69">
        <v>261</v>
      </c>
      <c r="R101" s="69">
        <v>86</v>
      </c>
      <c r="S101" s="69">
        <v>1275</v>
      </c>
      <c r="T101" s="57">
        <f t="shared" si="11"/>
        <v>8591</v>
      </c>
      <c r="U101" s="69">
        <v>231</v>
      </c>
      <c r="V101" s="69">
        <v>1612</v>
      </c>
      <c r="W101" s="69">
        <v>273</v>
      </c>
      <c r="X101" s="69">
        <v>2104</v>
      </c>
      <c r="Y101" s="69">
        <v>203</v>
      </c>
      <c r="Z101" s="69">
        <v>59</v>
      </c>
      <c r="AA101" s="69">
        <v>2363</v>
      </c>
      <c r="AB101" s="69">
        <v>640</v>
      </c>
      <c r="AC101" s="69">
        <v>713</v>
      </c>
      <c r="AD101" s="69">
        <v>393</v>
      </c>
      <c r="AE101" s="69">
        <v>0</v>
      </c>
    </row>
    <row r="102" spans="1:31" x14ac:dyDescent="0.3">
      <c r="A102" s="39">
        <v>44347</v>
      </c>
      <c r="B102" s="62">
        <f t="shared" si="9"/>
        <v>17101</v>
      </c>
      <c r="C102" s="70">
        <v>631</v>
      </c>
      <c r="D102" s="57">
        <f t="shared" si="10"/>
        <v>4114</v>
      </c>
      <c r="E102" s="71">
        <v>29</v>
      </c>
      <c r="F102" s="71">
        <v>451</v>
      </c>
      <c r="G102" s="72">
        <v>131</v>
      </c>
      <c r="H102" s="72">
        <v>413</v>
      </c>
      <c r="I102" s="72">
        <v>306</v>
      </c>
      <c r="J102" s="72">
        <v>129</v>
      </c>
      <c r="K102" s="72">
        <v>50</v>
      </c>
      <c r="L102" s="72">
        <v>119</v>
      </c>
      <c r="M102" s="72">
        <v>130</v>
      </c>
      <c r="N102" s="72">
        <v>248</v>
      </c>
      <c r="O102" s="72">
        <v>95</v>
      </c>
      <c r="P102" s="72">
        <v>61</v>
      </c>
      <c r="Q102" s="72">
        <v>312</v>
      </c>
      <c r="R102" s="72">
        <v>93</v>
      </c>
      <c r="S102" s="72">
        <v>1547</v>
      </c>
      <c r="T102" s="57">
        <f t="shared" si="11"/>
        <v>12356</v>
      </c>
      <c r="U102" s="72">
        <v>249</v>
      </c>
      <c r="V102" s="72">
        <v>1820</v>
      </c>
      <c r="W102" s="72">
        <v>465</v>
      </c>
      <c r="X102" s="72">
        <v>3704</v>
      </c>
      <c r="Y102" s="72">
        <v>212</v>
      </c>
      <c r="Z102" s="72">
        <v>48</v>
      </c>
      <c r="AA102" s="72">
        <v>3583</v>
      </c>
      <c r="AB102" s="72">
        <v>791</v>
      </c>
      <c r="AC102" s="72">
        <v>1074</v>
      </c>
      <c r="AD102" s="72">
        <v>410</v>
      </c>
      <c r="AE102" s="72">
        <v>0</v>
      </c>
    </row>
    <row r="103" spans="1:31" x14ac:dyDescent="0.3">
      <c r="A103" s="39">
        <v>44377</v>
      </c>
      <c r="B103" s="62">
        <f t="shared" si="9"/>
        <v>15628</v>
      </c>
      <c r="C103" s="70">
        <v>442</v>
      </c>
      <c r="D103" s="57">
        <f t="shared" si="10"/>
        <v>3740</v>
      </c>
      <c r="E103" s="71">
        <v>17</v>
      </c>
      <c r="F103" s="71">
        <v>587</v>
      </c>
      <c r="G103" s="71">
        <v>143</v>
      </c>
      <c r="H103" s="71">
        <v>347</v>
      </c>
      <c r="I103" s="71">
        <v>259</v>
      </c>
      <c r="J103" s="71">
        <v>95</v>
      </c>
      <c r="K103" s="71">
        <v>76</v>
      </c>
      <c r="L103" s="71">
        <v>77</v>
      </c>
      <c r="M103" s="71">
        <v>117</v>
      </c>
      <c r="N103" s="71">
        <v>265</v>
      </c>
      <c r="O103" s="71">
        <v>96</v>
      </c>
      <c r="P103" s="71">
        <v>44</v>
      </c>
      <c r="Q103" s="71">
        <v>299</v>
      </c>
      <c r="R103" s="71">
        <v>76</v>
      </c>
      <c r="S103" s="71">
        <v>1242</v>
      </c>
      <c r="T103" s="57">
        <f t="shared" si="11"/>
        <v>11446</v>
      </c>
      <c r="U103" s="71">
        <v>299</v>
      </c>
      <c r="V103" s="71">
        <v>1914</v>
      </c>
      <c r="W103" s="71">
        <v>317</v>
      </c>
      <c r="X103" s="71">
        <v>2958</v>
      </c>
      <c r="Y103" s="71">
        <v>241</v>
      </c>
      <c r="Z103" s="71">
        <v>43</v>
      </c>
      <c r="AA103" s="71">
        <v>2708</v>
      </c>
      <c r="AB103" s="71">
        <v>614</v>
      </c>
      <c r="AC103" s="71">
        <v>1707</v>
      </c>
      <c r="AD103" s="71">
        <v>645</v>
      </c>
      <c r="AE103" s="71">
        <v>0</v>
      </c>
    </row>
    <row r="104" spans="1:31" x14ac:dyDescent="0.3">
      <c r="A104" s="39">
        <v>44408</v>
      </c>
      <c r="B104" s="62">
        <f t="shared" si="9"/>
        <v>11213</v>
      </c>
      <c r="C104" s="68">
        <v>267</v>
      </c>
      <c r="D104" s="57">
        <f t="shared" si="10"/>
        <v>3131</v>
      </c>
      <c r="E104" s="69">
        <v>12</v>
      </c>
      <c r="F104" s="69">
        <v>378</v>
      </c>
      <c r="G104" s="17">
        <v>105</v>
      </c>
      <c r="H104" s="17">
        <v>288</v>
      </c>
      <c r="I104" s="17">
        <v>188</v>
      </c>
      <c r="J104" s="17">
        <v>59</v>
      </c>
      <c r="K104" s="17">
        <v>49</v>
      </c>
      <c r="L104" s="17">
        <v>86</v>
      </c>
      <c r="M104" s="17">
        <v>99</v>
      </c>
      <c r="N104" s="17">
        <v>260</v>
      </c>
      <c r="O104" s="17">
        <v>88</v>
      </c>
      <c r="P104" s="17">
        <v>32</v>
      </c>
      <c r="Q104" s="17">
        <v>218</v>
      </c>
      <c r="R104" s="17">
        <v>98</v>
      </c>
      <c r="S104" s="17">
        <v>1171</v>
      </c>
      <c r="T104" s="57">
        <f t="shared" si="11"/>
        <v>7815</v>
      </c>
      <c r="U104" s="17">
        <v>196</v>
      </c>
      <c r="V104" s="17">
        <v>1373</v>
      </c>
      <c r="W104" s="17">
        <v>180</v>
      </c>
      <c r="X104" s="17">
        <v>1262</v>
      </c>
      <c r="Y104" s="17">
        <v>195</v>
      </c>
      <c r="Z104" s="17">
        <v>60</v>
      </c>
      <c r="AA104" s="17">
        <v>2626</v>
      </c>
      <c r="AB104" s="17">
        <v>371</v>
      </c>
      <c r="AC104" s="17">
        <v>1145</v>
      </c>
      <c r="AD104" s="17">
        <v>407</v>
      </c>
      <c r="AE104" s="17">
        <v>0</v>
      </c>
    </row>
    <row r="105" spans="1:31" x14ac:dyDescent="0.3">
      <c r="A105" s="39">
        <v>44439</v>
      </c>
      <c r="B105" s="62">
        <f t="shared" si="9"/>
        <v>10594</v>
      </c>
      <c r="C105" s="68">
        <v>399</v>
      </c>
      <c r="D105" s="57">
        <f t="shared" si="10"/>
        <v>2661</v>
      </c>
      <c r="E105" s="69">
        <v>21</v>
      </c>
      <c r="F105" s="69">
        <v>333</v>
      </c>
      <c r="G105" s="69">
        <v>57</v>
      </c>
      <c r="H105" s="69">
        <v>119</v>
      </c>
      <c r="I105" s="69">
        <v>74</v>
      </c>
      <c r="J105" s="69">
        <v>41</v>
      </c>
      <c r="K105" s="69">
        <v>29</v>
      </c>
      <c r="L105" s="69">
        <v>58</v>
      </c>
      <c r="M105" s="69">
        <v>98</v>
      </c>
      <c r="N105" s="69">
        <v>223</v>
      </c>
      <c r="O105" s="69">
        <v>54</v>
      </c>
      <c r="P105" s="69">
        <v>121</v>
      </c>
      <c r="Q105" s="69">
        <v>154</v>
      </c>
      <c r="R105" s="69">
        <v>88</v>
      </c>
      <c r="S105" s="69">
        <v>1191</v>
      </c>
      <c r="T105" s="57">
        <f t="shared" si="11"/>
        <v>7534</v>
      </c>
      <c r="U105" s="69">
        <v>144</v>
      </c>
      <c r="V105" s="69">
        <v>1326</v>
      </c>
      <c r="W105" s="69">
        <v>172</v>
      </c>
      <c r="X105" s="69">
        <v>1319</v>
      </c>
      <c r="Y105" s="69">
        <v>181</v>
      </c>
      <c r="Z105" s="69">
        <v>27</v>
      </c>
      <c r="AA105" s="69">
        <v>2955</v>
      </c>
      <c r="AB105" s="69">
        <v>335</v>
      </c>
      <c r="AC105" s="69">
        <v>816</v>
      </c>
      <c r="AD105" s="69">
        <v>259</v>
      </c>
      <c r="AE105" s="69">
        <v>0</v>
      </c>
    </row>
    <row r="106" spans="1:31" x14ac:dyDescent="0.3">
      <c r="A106" s="39">
        <v>44469</v>
      </c>
      <c r="B106" s="62">
        <f t="shared" si="9"/>
        <v>13750</v>
      </c>
      <c r="C106" s="70">
        <v>274</v>
      </c>
      <c r="D106" s="57">
        <f t="shared" si="10"/>
        <v>3663</v>
      </c>
      <c r="E106" s="71">
        <v>16</v>
      </c>
      <c r="F106" s="71">
        <v>295</v>
      </c>
      <c r="G106" s="72">
        <v>197</v>
      </c>
      <c r="H106" s="72">
        <v>485</v>
      </c>
      <c r="I106" s="72">
        <v>326</v>
      </c>
      <c r="J106" s="72">
        <v>105</v>
      </c>
      <c r="K106" s="72">
        <v>46</v>
      </c>
      <c r="L106" s="72">
        <v>74</v>
      </c>
      <c r="M106" s="72">
        <v>124</v>
      </c>
      <c r="N106" s="72">
        <v>296</v>
      </c>
      <c r="O106" s="72">
        <v>105</v>
      </c>
      <c r="P106" s="72">
        <v>53</v>
      </c>
      <c r="Q106" s="72">
        <v>312</v>
      </c>
      <c r="R106" s="72">
        <v>51</v>
      </c>
      <c r="S106" s="72">
        <v>1178</v>
      </c>
      <c r="T106" s="57">
        <f t="shared" si="11"/>
        <v>9813</v>
      </c>
      <c r="U106" s="72">
        <v>205</v>
      </c>
      <c r="V106" s="72">
        <v>1448</v>
      </c>
      <c r="W106" s="72">
        <v>220</v>
      </c>
      <c r="X106" s="72">
        <v>2598</v>
      </c>
      <c r="Y106" s="72">
        <v>270</v>
      </c>
      <c r="Z106" s="72">
        <v>32</v>
      </c>
      <c r="AA106" s="72">
        <v>2694</v>
      </c>
      <c r="AB106" s="72">
        <v>575</v>
      </c>
      <c r="AC106" s="72">
        <v>1435</v>
      </c>
      <c r="AD106" s="72">
        <v>336</v>
      </c>
      <c r="AE106" s="72">
        <v>0</v>
      </c>
    </row>
    <row r="107" spans="1:31" x14ac:dyDescent="0.3">
      <c r="A107" s="39">
        <v>44499</v>
      </c>
      <c r="B107" s="62">
        <f t="shared" si="9"/>
        <v>12431</v>
      </c>
      <c r="C107" s="70">
        <v>286</v>
      </c>
      <c r="D107" s="57">
        <f t="shared" si="10"/>
        <v>3333</v>
      </c>
      <c r="E107" s="71">
        <v>16</v>
      </c>
      <c r="F107" s="71">
        <v>396</v>
      </c>
      <c r="G107" s="71">
        <v>221</v>
      </c>
      <c r="H107" s="71">
        <v>380</v>
      </c>
      <c r="I107" s="71">
        <v>241</v>
      </c>
      <c r="J107" s="71">
        <v>55</v>
      </c>
      <c r="K107" s="71">
        <v>60</v>
      </c>
      <c r="L107" s="71">
        <v>73</v>
      </c>
      <c r="M107" s="71">
        <v>76</v>
      </c>
      <c r="N107" s="71">
        <v>245</v>
      </c>
      <c r="O107" s="71">
        <v>134</v>
      </c>
      <c r="P107" s="71">
        <v>78</v>
      </c>
      <c r="Q107" s="71">
        <v>279</v>
      </c>
      <c r="R107" s="71">
        <v>67</v>
      </c>
      <c r="S107" s="71">
        <v>1012</v>
      </c>
      <c r="T107" s="57">
        <f t="shared" si="11"/>
        <v>8812</v>
      </c>
      <c r="U107" s="71">
        <v>289</v>
      </c>
      <c r="V107" s="71">
        <v>1784</v>
      </c>
      <c r="W107" s="71">
        <v>199</v>
      </c>
      <c r="X107" s="71">
        <v>1633</v>
      </c>
      <c r="Y107" s="71">
        <v>316</v>
      </c>
      <c r="Z107" s="71">
        <v>65</v>
      </c>
      <c r="AA107" s="71">
        <v>1960</v>
      </c>
      <c r="AB107" s="71">
        <v>786</v>
      </c>
      <c r="AC107" s="71">
        <v>1290</v>
      </c>
      <c r="AD107" s="71">
        <v>490</v>
      </c>
      <c r="AE107" s="71">
        <v>0</v>
      </c>
    </row>
    <row r="108" spans="1:31" x14ac:dyDescent="0.3">
      <c r="A108" s="39">
        <v>44530</v>
      </c>
      <c r="B108" s="62">
        <f t="shared" si="9"/>
        <v>11133</v>
      </c>
      <c r="C108" s="70">
        <v>299</v>
      </c>
      <c r="D108" s="57">
        <f t="shared" si="10"/>
        <v>3309</v>
      </c>
      <c r="E108" s="71">
        <v>34</v>
      </c>
      <c r="F108" s="71">
        <v>282</v>
      </c>
      <c r="G108" s="72">
        <v>173</v>
      </c>
      <c r="H108" s="72">
        <v>332</v>
      </c>
      <c r="I108" s="72">
        <v>203</v>
      </c>
      <c r="J108" s="72">
        <v>113</v>
      </c>
      <c r="K108" s="72">
        <v>36</v>
      </c>
      <c r="L108" s="72">
        <v>80</v>
      </c>
      <c r="M108" s="72">
        <v>92</v>
      </c>
      <c r="N108" s="72">
        <v>205</v>
      </c>
      <c r="O108" s="72">
        <v>135</v>
      </c>
      <c r="P108" s="72">
        <v>75</v>
      </c>
      <c r="Q108" s="72">
        <v>291</v>
      </c>
      <c r="R108" s="72">
        <v>106</v>
      </c>
      <c r="S108" s="72">
        <v>1152</v>
      </c>
      <c r="T108" s="57">
        <f t="shared" si="11"/>
        <v>7525</v>
      </c>
      <c r="U108" s="72">
        <v>241</v>
      </c>
      <c r="V108" s="72">
        <v>1498</v>
      </c>
      <c r="W108" s="72">
        <v>185</v>
      </c>
      <c r="X108" s="72">
        <v>1377</v>
      </c>
      <c r="Y108" s="72">
        <v>212</v>
      </c>
      <c r="Z108" s="72">
        <v>40</v>
      </c>
      <c r="AA108" s="72">
        <v>1761</v>
      </c>
      <c r="AB108" s="72">
        <v>661</v>
      </c>
      <c r="AC108" s="72">
        <v>1142</v>
      </c>
      <c r="AD108" s="72">
        <v>408</v>
      </c>
      <c r="AE108" s="72">
        <v>0</v>
      </c>
    </row>
    <row r="109" spans="1:31" x14ac:dyDescent="0.3">
      <c r="A109" s="39">
        <v>44561</v>
      </c>
      <c r="B109" s="62">
        <f t="shared" si="9"/>
        <v>8706</v>
      </c>
      <c r="C109" s="70">
        <v>251</v>
      </c>
      <c r="D109" s="57">
        <f t="shared" si="10"/>
        <v>2356</v>
      </c>
      <c r="E109" s="71">
        <v>9</v>
      </c>
      <c r="F109" s="71">
        <v>205</v>
      </c>
      <c r="G109" s="71">
        <v>143</v>
      </c>
      <c r="H109" s="71">
        <v>249</v>
      </c>
      <c r="I109" s="71">
        <v>125</v>
      </c>
      <c r="J109" s="71">
        <v>30</v>
      </c>
      <c r="K109" s="71">
        <v>34</v>
      </c>
      <c r="L109" s="71">
        <v>56</v>
      </c>
      <c r="M109" s="71">
        <v>73</v>
      </c>
      <c r="N109" s="71">
        <v>143</v>
      </c>
      <c r="O109" s="71">
        <v>96</v>
      </c>
      <c r="P109" s="71">
        <v>53</v>
      </c>
      <c r="Q109" s="71">
        <v>194</v>
      </c>
      <c r="R109" s="71">
        <v>27</v>
      </c>
      <c r="S109" s="71">
        <v>919</v>
      </c>
      <c r="T109" s="57">
        <f t="shared" si="11"/>
        <v>6099</v>
      </c>
      <c r="U109" s="71">
        <v>197</v>
      </c>
      <c r="V109" s="71">
        <v>1106</v>
      </c>
      <c r="W109" s="71">
        <v>175</v>
      </c>
      <c r="X109" s="71">
        <v>1035</v>
      </c>
      <c r="Y109" s="71">
        <v>294</v>
      </c>
      <c r="Z109" s="71">
        <v>42</v>
      </c>
      <c r="AA109" s="71">
        <v>1260</v>
      </c>
      <c r="AB109" s="71">
        <v>607</v>
      </c>
      <c r="AC109" s="71">
        <v>978</v>
      </c>
      <c r="AD109" s="71">
        <v>405</v>
      </c>
      <c r="AE109" s="71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Desermp.  Genero e Habilitacoes</vt:lpstr>
      <vt:lpstr>Desemprego por Regiao</vt:lpstr>
      <vt:lpstr>Desemprego por AE</vt:lpstr>
      <vt:lpstr>Oferta de Emprego por Regiao</vt:lpstr>
      <vt:lpstr>Oferta de Emprego por AE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Costa, Bruno</dc:creator>
  <cp:lastModifiedBy>Costa, Bruno</cp:lastModifiedBy>
  <dcterms:created xsi:type="dcterms:W3CDTF">2022-06-18T09:08:42Z</dcterms:created>
  <dcterms:modified xsi:type="dcterms:W3CDTF">2022-06-19T19:37:46Z</dcterms:modified>
</cp:coreProperties>
</file>