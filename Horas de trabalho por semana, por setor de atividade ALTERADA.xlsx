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13_ncr:1_{10417299-AF77-4C4A-98F6-2990A18DBAD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E4" i="3"/>
  <c r="B5" i="3"/>
  <c r="B4" i="3"/>
  <c r="E3" i="3"/>
  <c r="B3" i="3" s="1"/>
  <c r="B11" i="3"/>
  <c r="B10" i="3"/>
  <c r="B9" i="3"/>
  <c r="B8" i="3"/>
  <c r="B7" i="3"/>
  <c r="B6" i="3"/>
</calcChain>
</file>

<file path=xl/sharedStrings.xml><?xml version="1.0" encoding="utf-8"?>
<sst xmlns="http://schemas.openxmlformats.org/spreadsheetml/2006/main" count="367" uniqueCount="98">
  <si>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</si>
  <si>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</si>
  <si>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</si>
  <si>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</si>
  <si>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</si>
  <si>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</si>
  <si>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</si>
  <si>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</si>
  <si>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</si>
  <si>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</si>
  <si>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</si>
  <si>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</si>
  <si>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</si>
  <si>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</si>
  <si>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</si>
  <si>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</si>
  <si>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</si>
  <si>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</si>
  <si>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</si>
  <si>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</si>
  <si>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</si>
  <si>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</si>
  <si>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</si>
  <si>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</si>
  <si>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</si>
  <si>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</si>
  <si>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</si>
  <si>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</si>
  <si>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</si>
  <si>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</si>
  <si>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</si>
  <si>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</si>
  <si>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</si>
  <si>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</si>
  <si>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</si>
  <si>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</si>
  <si>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</si>
  <si>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</si>
  <si>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</si>
  <si>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</si>
  <si>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</si>
  <si>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</si>
  <si>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</si>
  <si>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</si>
  <si>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</si>
  <si>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</si>
  <si>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</si>
  <si>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</si>
  <si>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</si>
  <si>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</si>
  <si>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</si>
  <si>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</si>
  <si>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</si>
  <si>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</si>
  <si>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</si>
  <si>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</si>
  <si>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</si>
  <si>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</si>
  <si>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</si>
  <si>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</si>
  <si>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</si>
  <si>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</si>
  <si>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</si>
  <si>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</si>
  <si>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</si>
  <si>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</si>
  <si>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</si>
  <si>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</si>
  <si>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</si>
  <si>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</si>
  <si>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</si>
  <si>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</si>
  <si>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</si>
  <si>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</si>
  <si>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</si>
  <si>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</si>
  <si>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</si>
  <si>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</si>
  <si>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</si>
  <si>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</si>
  <si>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</si>
  <si>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</si>
  <si>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</si>
  <si>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</si>
  <si>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</si>
  <si>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</si>
  <si>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</si>
  <si>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</si>
  <si>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</si>
  <si>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</si>
  <si>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</si>
  <si>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</si>
  <si>
    <t>Column1</t>
  </si>
  <si>
    <t>Column2</t>
  </si>
  <si>
    <t>Primário</t>
  </si>
  <si>
    <t>Secundário</t>
  </si>
  <si>
    <t>Column6</t>
  </si>
  <si>
    <t>Terciário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</si>
</sst>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##,##0.0;\ \-##,##0.0"/>
    <numFmt numFmtId="165" formatCode="\┴\ \ ##,##0.0;\┴\ \ \-##,##0.0"/>
    <numFmt numFmtId="166" formatCode="\(\R\)\ ##,##0.0;\(\R\)\ \-##,##0.0"/>
    <numFmt numFmtId="167" formatCode="0.0"/>
  </numFmts>
  <fonts count="13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/>
      <top style="thin">
        <color indexed="10"/>
      </top>
      <bottom style="thin">
        <color indexed="10"/>
      </bottom>
      <diagonal/>
    </border>
    <border diagonalDown="1">
      <left/>
      <right style="thin">
        <color indexed="10"/>
      </right>
      <top/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/>
      <bottom style="thin">
        <color indexed="10"/>
      </bottom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52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64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64" fontId="1" fillId="3" borderId="1" xfId="2" applyNumberFormat="1">
      <alignment horizontal="center" vertical="top" wrapText="1"/>
    </xf>
    <xf numFmtId="165" fontId="1" fillId="3" borderId="1" xfId="2" applyNumberFormat="1">
      <alignment horizontal="center" vertical="top" wrapText="1"/>
    </xf>
    <xf numFmtId="165" fontId="1" fillId="2" borderId="1" xfId="4" applyNumberFormat="1">
      <alignment horizontal="center" vertical="top" wrapText="1"/>
    </xf>
    <xf numFmtId="166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67" fontId="1" fillId="2" borderId="1" xfId="4" applyNumberFormat="1">
      <alignment horizontal="center" vertical="top" wrapText="1"/>
    </xf>
    <xf numFmtId="167" fontId="1" fillId="3" borderId="1" xfId="2" applyNumberFormat="1">
      <alignment horizontal="center" vertical="top" wrapText="1"/>
    </xf>
    <xf numFmtId="0" fontId="2" fillId="10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 wrapText="1"/>
    </xf>
    <xf numFmtId="167" fontId="1" fillId="2" borderId="13" xfId="4" applyNumberFormat="1" applyBorder="1">
      <alignment horizontal="center" vertical="top" wrapText="1"/>
    </xf>
    <xf numFmtId="14" fontId="2" fillId="2" borderId="8" xfId="3" applyNumberFormat="1" applyBorder="1">
      <alignment horizontal="center" vertical="top" wrapText="1"/>
    </xf>
    <xf numFmtId="14" fontId="2" fillId="3" borderId="8" xfId="1" applyNumberFormat="1" applyBorder="1">
      <alignment horizontal="center" vertical="top" wrapText="1"/>
    </xf>
    <xf numFmtId="14" fontId="2" fillId="2" borderId="12" xfId="3" applyNumberFormat="1" applyBorder="1">
      <alignment horizontal="center" vertical="top" wrapText="1"/>
    </xf>
    <xf numFmtId="167" fontId="1" fillId="3" borderId="14" xfId="2" applyNumberFormat="1" applyBorder="1">
      <alignment horizontal="center" vertical="top" wrapText="1"/>
    </xf>
    <xf numFmtId="0" fontId="2" fillId="11" borderId="15" xfId="0" applyFont="1" applyFill="1" applyBorder="1" applyAlignment="1">
      <alignment horizontal="center" vertical="center" wrapText="1"/>
    </xf>
    <xf numFmtId="0" fontId="1" fillId="2" borderId="14" xfId="4" applyBorder="1">
      <alignment horizontal="center" vertical="top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8" fillId="7" borderId="6" xfId="0" applyFont="1" applyFill="1" applyBorder="1" applyAlignment="1">
      <alignment vertical="center" wrapText="1"/>
    </xf>
  </cellXfs>
  <cellStyles count="5">
    <cellStyle name="Normal" xfId="0" builtinId="0"/>
    <cellStyle name="TableEvenline" xfId="1" xr:uid="{00000000-0005-0000-0000-000001000000}"/>
    <cellStyle name="TableEvenlineData" xfId="2" xr:uid="{00000000-0005-0000-0000-000002000000}"/>
    <cellStyle name="TableOddline" xfId="3" xr:uid="{00000000-0005-0000-0000-000003000000}"/>
    <cellStyle name="TableOddlineData" xfId="4" xr:uid="{00000000-0005-0000-0000-000004000000}"/>
  </cellStyles>
  <dxfs count="9"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border diagonalUp="0" diagonalDown="1">
        <left/>
        <right style="thin">
          <color indexed="10"/>
        </right>
        <top style="thin">
          <color indexed="10"/>
        </top>
        <bottom style="thin">
          <color indexed="10"/>
        </bottom>
        <diagonal/>
        <vertical/>
        <horizontal/>
      </border>
    </dxf>
    <dxf>
      <border outline="0">
        <top style="thin">
          <color indexed="10"/>
        </top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border outline="0"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0"/>
        <name val="Arial"/>
        <scheme val="none"/>
      </font>
      <fill>
        <patternFill patternType="solid">
          <fgColor indexed="64"/>
          <bgColor indexed="11"/>
        </patternFill>
      </fill>
      <alignment horizontal="center" vertical="center" textRotation="0" wrapText="1" indent="0" justifyLastLine="0" shrinkToFit="0" readingOrder="0"/>
      <border diagonalUp="0" diagonalDown="1" outline="0">
        <left style="thin">
          <color indexed="10"/>
        </left>
        <right style="thin">
          <color indexed="10"/>
        </right>
        <top/>
        <bottom/>
        <diagon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62166001-AD72-A02B-2D4C-F85C4C21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4662AD87-9231-A645-87F5-42F4563C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5FE68BB4-AE8E-6500-09EF-B6DDCA55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E3D1769F-A008-2B4F-37FE-E31E8FFAE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4AA8B-A4A3-4EDC-833B-43A24A840C3F}" name="Table1" displayName="Table1" ref="A1:E11" totalsRowShown="0" headerRowDxfId="8" headerRowBorderDxfId="7" tableBorderDxfId="6" totalsRowBorderDxfId="5" dataCellStyle="TableEvenlineData">
  <autoFilter ref="A1:E11" xr:uid="{0E94AA8B-A4A3-4EDC-833B-43A24A840C3F}"/>
  <tableColumns count="5">
    <tableColumn id="1" xr3:uid="{6DA86AA0-53D0-40E9-87DB-01A2050405FC}" name="Anos" dataDxfId="4" dataCellStyle="TableEvenline"/>
    <tableColumn id="2" xr3:uid="{BFB1FC8B-F121-44AF-BC50-1597EA04CDA6}" name="Sectores de actividade económica" dataDxfId="3" dataCellStyle="TableEvenlineData"/>
    <tableColumn id="3" xr3:uid="{80BAEDB0-28DB-466C-81D1-C920956586D2}" name="Column1" dataDxfId="2" dataCellStyle="TableEvenlineData"/>
    <tableColumn id="4" xr3:uid="{5531B04A-30A3-409F-AD45-ED0CDB51182F}" name="Column2" dataDxfId="1" dataCellStyle="TableEvenlineData"/>
    <tableColumn id="8" xr3:uid="{BCFAEC2F-A51E-4FB1-B48B-D9C39D6684DA}" name="Column6" dataDxfId="0" dataCellStyle="TableEvenline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6" sqref="E16"/>
    </sheetView>
  </sheetViews>
  <sheetFormatPr defaultRowHeight="12.75" x14ac:dyDescent="0.2"/>
  <cols>
    <col min="1" max="1" width="10.140625" bestFit="1" customWidth="1"/>
    <col min="2" max="2" width="34.42578125" customWidth="1"/>
    <col min="3" max="7" width="20.7109375" customWidth="1"/>
  </cols>
  <sheetData>
    <row r="1" spans="1:5" x14ac:dyDescent="0.2">
      <c r="A1" s="31" t="s">
        <v>2</v>
      </c>
      <c r="B1" s="32" t="s">
        <v>4</v>
      </c>
      <c r="C1" s="32" t="s">
        <v>92</v>
      </c>
      <c r="D1" s="32" t="s">
        <v>93</v>
      </c>
      <c r="E1" s="38" t="s">
        <v>96</v>
      </c>
    </row>
    <row r="2" spans="1:5" x14ac:dyDescent="0.2">
      <c r="A2" s="29"/>
      <c r="B2" s="7" t="s">
        <v>5</v>
      </c>
      <c r="C2" s="7" t="s">
        <v>94</v>
      </c>
      <c r="D2" s="7" t="s">
        <v>95</v>
      </c>
      <c r="E2" s="30" t="s">
        <v>97</v>
      </c>
    </row>
    <row r="3" spans="1:5" x14ac:dyDescent="0.2">
      <c r="A3" s="34">
        <v>41639</v>
      </c>
      <c r="B3" s="27">
        <f>SUM(Table1[[#This Row],[Column1]:[Column6]])</f>
        <v>107.63333333333333</v>
      </c>
      <c r="C3" s="27">
        <v>35.9</v>
      </c>
      <c r="D3" s="27">
        <v>36.200000000000003</v>
      </c>
      <c r="E3" s="39">
        <f>106.6/3</f>
        <v>35.533333333333331</v>
      </c>
    </row>
    <row r="4" spans="1:5" x14ac:dyDescent="0.2">
      <c r="A4" s="35">
        <v>42004</v>
      </c>
      <c r="B4" s="27">
        <f>SUM(Table1[[#This Row],[Column1]:[Column6]])</f>
        <v>104.76666666666668</v>
      </c>
      <c r="C4" s="28">
        <v>33.5</v>
      </c>
      <c r="D4" s="28">
        <v>35.9</v>
      </c>
      <c r="E4" s="37">
        <f>106.1/3</f>
        <v>35.366666666666667</v>
      </c>
    </row>
    <row r="5" spans="1:5" x14ac:dyDescent="0.2">
      <c r="A5" s="34">
        <v>42369</v>
      </c>
      <c r="B5" s="27">
        <f>SUM(Table1[[#This Row],[Column1]:[Column6]])</f>
        <v>106.1</v>
      </c>
      <c r="C5" s="27">
        <v>35</v>
      </c>
      <c r="D5" s="27">
        <v>35.9</v>
      </c>
      <c r="E5" s="39">
        <f>105.6/3</f>
        <v>35.199999999999996</v>
      </c>
    </row>
    <row r="6" spans="1:5" x14ac:dyDescent="0.2">
      <c r="A6" s="35">
        <v>42735</v>
      </c>
      <c r="B6" s="27">
        <f>SUM(Table1[[#This Row],[Column1]:[Column6]])</f>
        <v>103.69999999999999</v>
      </c>
      <c r="C6" s="28">
        <v>33.700000000000003</v>
      </c>
      <c r="D6" s="28">
        <v>35.299999999999997</v>
      </c>
      <c r="E6" s="37">
        <f>104.1/3</f>
        <v>34.699999999999996</v>
      </c>
    </row>
    <row r="7" spans="1:5" x14ac:dyDescent="0.2">
      <c r="A7" s="34">
        <v>43100</v>
      </c>
      <c r="B7" s="27">
        <f>SUM(Table1[[#This Row],[Column1]:[Column6]])</f>
        <v>104.66666666666666</v>
      </c>
      <c r="C7" s="27">
        <v>34.700000000000003</v>
      </c>
      <c r="D7" s="27">
        <v>35.4</v>
      </c>
      <c r="E7" s="39">
        <f>103.7/3</f>
        <v>34.56666666666667</v>
      </c>
    </row>
    <row r="8" spans="1:5" x14ac:dyDescent="0.2">
      <c r="A8" s="35">
        <v>43465</v>
      </c>
      <c r="B8" s="27">
        <f>SUM(Table1[[#This Row],[Column1]:[Column6]])</f>
        <v>104.63333333333333</v>
      </c>
      <c r="C8" s="28">
        <v>34.799999999999997</v>
      </c>
      <c r="D8" s="28">
        <v>35.5</v>
      </c>
      <c r="E8" s="37">
        <f>103/3</f>
        <v>34.333333333333336</v>
      </c>
    </row>
    <row r="9" spans="1:5" x14ac:dyDescent="0.2">
      <c r="A9" s="34">
        <v>43830</v>
      </c>
      <c r="B9" s="27">
        <f>SUM(Table1[[#This Row],[Column1]:[Column6]])</f>
        <v>104.86666666666667</v>
      </c>
      <c r="C9" s="27">
        <v>35.1</v>
      </c>
      <c r="D9" s="27">
        <v>35.299999999999997</v>
      </c>
      <c r="E9" s="39">
        <f>103.4/3</f>
        <v>34.466666666666669</v>
      </c>
    </row>
    <row r="10" spans="1:5" x14ac:dyDescent="0.2">
      <c r="A10" s="35">
        <v>44196</v>
      </c>
      <c r="B10" s="27">
        <f>SUM(Table1[[#This Row],[Column1]:[Column6]])</f>
        <v>98.200000000000017</v>
      </c>
      <c r="C10" s="28">
        <v>33.1</v>
      </c>
      <c r="D10" s="28">
        <v>32.799999999999997</v>
      </c>
      <c r="E10" s="37">
        <f>96.9/3</f>
        <v>32.300000000000004</v>
      </c>
    </row>
    <row r="11" spans="1:5" x14ac:dyDescent="0.2">
      <c r="A11" s="36">
        <v>44561</v>
      </c>
      <c r="B11" s="27">
        <f>SUM(Table1[[#This Row],[Column1]:[Column6]])</f>
        <v>101.5</v>
      </c>
      <c r="C11" s="33">
        <v>34.5</v>
      </c>
      <c r="D11" s="33">
        <v>34</v>
      </c>
      <c r="E11" s="39">
        <f>99/3</f>
        <v>33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40" customFormat="1" x14ac:dyDescent="0.2"/>
    <row r="4" spans="1:256" ht="70.150000000000006" customHeight="1" x14ac:dyDescent="0.2">
      <c r="B4" s="41" t="s">
        <v>0</v>
      </c>
      <c r="C4" s="41"/>
      <c r="D4" s="41"/>
      <c r="E4" s="41"/>
      <c r="F4" s="41"/>
      <c r="G4" s="41"/>
    </row>
    <row r="5" spans="1:256" ht="30" customHeight="1" x14ac:dyDescent="0.2">
      <c r="B5" s="42" t="s">
        <v>1</v>
      </c>
      <c r="C5" s="42"/>
      <c r="D5" s="42"/>
      <c r="E5" s="42"/>
      <c r="F5" s="42"/>
      <c r="G5" s="42"/>
    </row>
    <row r="6" spans="1:256" x14ac:dyDescent="0.2">
      <c r="B6" s="44" t="s">
        <v>3</v>
      </c>
      <c r="C6" s="44"/>
      <c r="D6" s="44"/>
      <c r="E6" s="44"/>
      <c r="F6" s="44"/>
      <c r="G6" s="44"/>
    </row>
    <row r="7" spans="1:256" ht="49.9" customHeight="1" x14ac:dyDescent="0.2">
      <c r="A7" s="43" t="s">
        <v>2</v>
      </c>
      <c r="B7" s="45" t="s">
        <v>4</v>
      </c>
      <c r="C7" s="45"/>
      <c r="D7" s="45"/>
      <c r="E7" s="45"/>
      <c r="F7" s="45"/>
      <c r="G7" s="45"/>
    </row>
    <row r="8" spans="1:256" ht="52.15" customHeight="1" x14ac:dyDescent="0.2">
      <c r="A8" s="43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40"/>
      <c r="B3" s="40"/>
      <c r="C3" s="40"/>
      <c r="D3" s="40"/>
      <c r="E3" s="40"/>
      <c r="F3" s="40"/>
      <c r="G3" s="40"/>
      <c r="H3" s="40"/>
    </row>
    <row r="4" spans="1:8" ht="40.15" customHeight="1" x14ac:dyDescent="0.2">
      <c r="A4" s="51" t="s">
        <v>0</v>
      </c>
      <c r="B4" s="51"/>
      <c r="C4" s="51"/>
      <c r="D4" s="51"/>
      <c r="E4" s="51"/>
      <c r="F4" s="51"/>
      <c r="G4" s="51"/>
      <c r="H4" s="51"/>
    </row>
    <row r="6" spans="1:8" ht="14.65" customHeight="1" x14ac:dyDescent="0.2">
      <c r="A6" s="22" t="s">
        <v>47</v>
      </c>
      <c r="B6" s="50" t="s">
        <v>48</v>
      </c>
      <c r="C6" s="50"/>
      <c r="D6" s="50"/>
      <c r="E6" s="50"/>
      <c r="F6" s="50"/>
      <c r="G6" s="50"/>
      <c r="H6" s="50"/>
    </row>
    <row r="7" spans="1:8" x14ac:dyDescent="0.2">
      <c r="A7" s="22" t="s">
        <v>49</v>
      </c>
      <c r="B7" s="50" t="s">
        <v>50</v>
      </c>
      <c r="C7" s="50"/>
      <c r="D7" s="50"/>
      <c r="E7" s="50"/>
      <c r="F7" s="50"/>
      <c r="G7" s="50"/>
      <c r="H7" s="50"/>
    </row>
    <row r="8" spans="1:8" x14ac:dyDescent="0.2">
      <c r="A8" s="22" t="s">
        <v>51</v>
      </c>
      <c r="B8" s="50" t="s">
        <v>52</v>
      </c>
      <c r="C8" s="50"/>
      <c r="D8" s="50"/>
      <c r="E8" s="50"/>
      <c r="F8" s="50"/>
      <c r="G8" s="50"/>
      <c r="H8" s="50"/>
    </row>
    <row r="9" spans="1:8" ht="25.5" x14ac:dyDescent="0.2">
      <c r="A9" s="22" t="s">
        <v>53</v>
      </c>
      <c r="B9" s="50" t="s">
        <v>54</v>
      </c>
      <c r="C9" s="50"/>
      <c r="D9" s="50"/>
      <c r="E9" s="50"/>
      <c r="F9" s="50"/>
      <c r="G9" s="50"/>
      <c r="H9" s="50"/>
    </row>
    <row r="10" spans="1:8" x14ac:dyDescent="0.2">
      <c r="A10" s="22" t="s">
        <v>55</v>
      </c>
      <c r="B10" s="50" t="s">
        <v>56</v>
      </c>
      <c r="C10" s="50"/>
      <c r="D10" s="50"/>
      <c r="E10" s="50"/>
      <c r="F10" s="50"/>
      <c r="G10" s="50"/>
      <c r="H10" s="50"/>
    </row>
    <row r="11" spans="1:8" x14ac:dyDescent="0.2">
      <c r="A11" s="22" t="s">
        <v>57</v>
      </c>
      <c r="B11" s="50" t="s">
        <v>58</v>
      </c>
      <c r="C11" s="50"/>
      <c r="D11" s="50"/>
      <c r="E11" s="50"/>
      <c r="F11" s="50"/>
      <c r="G11" s="50"/>
      <c r="H11" s="50"/>
    </row>
    <row r="12" spans="1:8" ht="55.15" customHeight="1" x14ac:dyDescent="0.2">
      <c r="A12" s="22" t="s">
        <v>59</v>
      </c>
      <c r="B12" s="50" t="s">
        <v>60</v>
      </c>
      <c r="C12" s="50"/>
      <c r="D12" s="50"/>
      <c r="E12" s="50"/>
      <c r="F12" s="50"/>
      <c r="G12" s="50"/>
      <c r="H12" s="50"/>
    </row>
    <row r="14" spans="1:8" ht="15.75" x14ac:dyDescent="0.2">
      <c r="A14" s="48" t="s">
        <v>61</v>
      </c>
      <c r="B14" s="48"/>
      <c r="C14" s="48"/>
      <c r="D14" s="48"/>
      <c r="E14" s="48"/>
      <c r="F14" s="48"/>
      <c r="G14" s="48"/>
      <c r="H14" s="48"/>
    </row>
    <row r="16" spans="1:8" ht="19.899999999999999" customHeight="1" x14ac:dyDescent="0.2">
      <c r="A16" s="3" t="s">
        <v>62</v>
      </c>
      <c r="B16" s="49" t="s">
        <v>63</v>
      </c>
      <c r="C16" s="49"/>
      <c r="D16" s="49"/>
      <c r="E16" s="49" t="s">
        <v>64</v>
      </c>
      <c r="F16" s="49"/>
      <c r="G16" s="49"/>
      <c r="H16" s="49"/>
    </row>
    <row r="17" spans="1:8" ht="31.15" customHeight="1" x14ac:dyDescent="0.2">
      <c r="A17" s="2" t="s">
        <v>65</v>
      </c>
      <c r="B17" s="47"/>
      <c r="C17" s="47"/>
      <c r="D17" s="47"/>
      <c r="E17" s="47" t="s">
        <v>66</v>
      </c>
      <c r="F17" s="47"/>
      <c r="G17" s="47"/>
      <c r="H17" s="47"/>
    </row>
    <row r="18" spans="1:8" ht="61.9" customHeight="1" x14ac:dyDescent="0.2">
      <c r="A18" s="1" t="s">
        <v>67</v>
      </c>
      <c r="B18" s="46"/>
      <c r="C18" s="46"/>
      <c r="D18" s="46"/>
      <c r="E18" s="46" t="s">
        <v>68</v>
      </c>
      <c r="F18" s="46"/>
      <c r="G18" s="46"/>
      <c r="H18" s="46"/>
    </row>
    <row r="19" spans="1:8" ht="145.9" customHeight="1" x14ac:dyDescent="0.2">
      <c r="A19" s="2" t="s">
        <v>69</v>
      </c>
      <c r="B19" s="47" t="s">
        <v>70</v>
      </c>
      <c r="C19" s="47"/>
      <c r="D19" s="47"/>
      <c r="E19" s="47" t="s">
        <v>71</v>
      </c>
      <c r="F19" s="47"/>
      <c r="G19" s="47"/>
      <c r="H19" s="47"/>
    </row>
    <row r="21" spans="1:8" ht="15.75" x14ac:dyDescent="0.2">
      <c r="A21" s="48" t="s">
        <v>72</v>
      </c>
      <c r="B21" s="48"/>
      <c r="C21" s="48"/>
      <c r="D21" s="48"/>
      <c r="E21" s="48"/>
      <c r="F21" s="48"/>
      <c r="G21" s="48"/>
      <c r="H21" s="48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49" t="s">
        <v>77</v>
      </c>
      <c r="F23" s="49"/>
      <c r="G23" s="49"/>
      <c r="H23" s="49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47" t="s">
        <v>81</v>
      </c>
      <c r="F24" s="47"/>
      <c r="G24" s="47"/>
      <c r="H24" s="47"/>
    </row>
    <row r="27" spans="1:8" ht="15.75" x14ac:dyDescent="0.2">
      <c r="A27" s="48" t="s">
        <v>82</v>
      </c>
      <c r="B27" s="48"/>
      <c r="C27" s="48"/>
      <c r="D27" s="48"/>
      <c r="E27" s="48"/>
      <c r="F27" s="48"/>
      <c r="G27" s="48"/>
      <c r="H27" s="48"/>
    </row>
    <row r="29" spans="1:8" ht="19.899999999999999" customHeight="1" x14ac:dyDescent="0.2">
      <c r="A29" s="23" t="s">
        <v>83</v>
      </c>
      <c r="B29" s="49" t="s">
        <v>77</v>
      </c>
      <c r="C29" s="49"/>
      <c r="D29" s="49"/>
      <c r="E29" s="49"/>
      <c r="F29" s="49"/>
      <c r="G29" s="49"/>
      <c r="H29" s="23" t="s">
        <v>16</v>
      </c>
    </row>
    <row r="30" spans="1:8" ht="24.4" customHeight="1" x14ac:dyDescent="0.2">
      <c r="A30" s="24">
        <v>1983</v>
      </c>
      <c r="B30" s="47" t="s">
        <v>84</v>
      </c>
      <c r="C30" s="47"/>
      <c r="D30" s="47"/>
      <c r="E30" s="47"/>
      <c r="F30" s="47"/>
      <c r="G30" s="47"/>
      <c r="H30" s="24" t="s">
        <v>85</v>
      </c>
    </row>
    <row r="31" spans="1:8" ht="24.4" customHeight="1" x14ac:dyDescent="0.2">
      <c r="A31" s="25">
        <v>1985</v>
      </c>
      <c r="B31" s="46" t="s">
        <v>84</v>
      </c>
      <c r="C31" s="46"/>
      <c r="D31" s="46"/>
      <c r="E31" s="46"/>
      <c r="F31" s="46"/>
      <c r="G31" s="46"/>
      <c r="H31" s="25" t="s">
        <v>85</v>
      </c>
    </row>
    <row r="32" spans="1:8" ht="93.6" customHeight="1" x14ac:dyDescent="0.2">
      <c r="A32" s="24">
        <v>1992</v>
      </c>
      <c r="B32" s="47" t="s">
        <v>86</v>
      </c>
      <c r="C32" s="47"/>
      <c r="D32" s="47"/>
      <c r="E32" s="47"/>
      <c r="F32" s="47"/>
      <c r="G32" s="47"/>
      <c r="H32" s="24" t="s">
        <v>87</v>
      </c>
    </row>
    <row r="33" spans="1:8" ht="62.25" customHeight="1" x14ac:dyDescent="0.2">
      <c r="A33" s="25">
        <v>1998</v>
      </c>
      <c r="B33" s="46" t="s">
        <v>88</v>
      </c>
      <c r="C33" s="46"/>
      <c r="D33" s="46"/>
      <c r="E33" s="46"/>
      <c r="F33" s="46"/>
      <c r="G33" s="46"/>
      <c r="H33" s="25" t="s">
        <v>87</v>
      </c>
    </row>
    <row r="34" spans="1:8" ht="31.15" customHeight="1" x14ac:dyDescent="0.2">
      <c r="A34" s="24">
        <v>2008</v>
      </c>
      <c r="B34" s="47" t="s">
        <v>89</v>
      </c>
      <c r="C34" s="47"/>
      <c r="D34" s="47"/>
      <c r="E34" s="47"/>
      <c r="F34" s="47"/>
      <c r="G34" s="47"/>
      <c r="H34" s="24" t="s">
        <v>87</v>
      </c>
    </row>
    <row r="35" spans="1:8" ht="68.650000000000006" customHeight="1" x14ac:dyDescent="0.2">
      <c r="A35" s="25">
        <v>2011</v>
      </c>
      <c r="B35" s="46" t="s">
        <v>90</v>
      </c>
      <c r="C35" s="46"/>
      <c r="D35" s="46"/>
      <c r="E35" s="46"/>
      <c r="F35" s="46"/>
      <c r="G35" s="46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A3:H3"/>
    <mergeCell ref="A4:H4"/>
    <mergeCell ref="B6:H6"/>
    <mergeCell ref="B7:H7"/>
    <mergeCell ref="B8:H8"/>
    <mergeCell ref="E18:H1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B19:D19"/>
    <mergeCell ref="E19:H19"/>
    <mergeCell ref="A21:H21"/>
    <mergeCell ref="E23:H23"/>
    <mergeCell ref="E24:H24"/>
    <mergeCell ref="B33:G33"/>
    <mergeCell ref="B34:G34"/>
    <mergeCell ref="B35:G35"/>
    <mergeCell ref="A27:H27"/>
    <mergeCell ref="B29:G29"/>
    <mergeCell ref="B30:G30"/>
    <mergeCell ref="B31:G31"/>
    <mergeCell ref="B32:G3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2022-06-19T21:32:10Z</dcterms:modified>
</cp:coreProperties>
</file>