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BDs alteradas\"/>
    </mc:Choice>
  </mc:AlternateContent>
  <xr:revisionPtr revIDLastSave="0" documentId="13_ncr:1_{F1802086-3DF5-46D2-AD52-E7407EA050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3" r:id="rId1"/>
    <sheet name="Quadro" sheetId="1" r:id="rId2"/>
    <sheet name="Metainformaçã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3" l="1"/>
  <c r="E10" i="3"/>
  <c r="E9" i="3"/>
  <c r="E8" i="3"/>
  <c r="E7" i="3"/>
  <c r="E6" i="3"/>
  <c r="E5" i="3"/>
  <c r="E4" i="3"/>
  <c r="B5" i="3"/>
  <c r="B4" i="3"/>
  <c r="E3" i="3"/>
  <c r="B3" i="3" s="1"/>
  <c r="B11" i="3"/>
  <c r="B10" i="3"/>
  <c r="B9" i="3"/>
  <c r="B8" i="3"/>
  <c r="B7" i="3"/>
  <c r="B6" i="3"/>
</calcChain>
</file>

<file path=xl/sharedStrings.xml><?xml version="1.0" encoding="utf-8"?>
<sst xmlns="http://schemas.openxmlformats.org/spreadsheetml/2006/main" count="367" uniqueCount="98">
  <si>
    <t>Duração média semanal do trabalho efectivo dos trabalhadores por conta de outrem: total e por sector de actividade económica</t>
  </si>
  <si>
    <t>Quantas horas trabalham, em média, por semana, os empregados na agricultura, indústria, comércio ou noutros serviços?</t>
  </si>
  <si>
    <t>Anos</t>
  </si>
  <si>
    <t>Hora - Média</t>
  </si>
  <si>
    <t>Sectores de actividade económica</t>
  </si>
  <si>
    <t>Total</t>
  </si>
  <si>
    <t>Agricultura e Pesca</t>
  </si>
  <si>
    <t>Indústria</t>
  </si>
  <si>
    <t>Comércio</t>
  </si>
  <si>
    <t>Bancos e seguros</t>
  </si>
  <si>
    <t>Administração pública, Educação e Saúde</t>
  </si>
  <si>
    <t>Fontes de Dados: INE - Inquérito ao Emprego</t>
  </si>
  <si>
    <t>Fonte: PORDATA</t>
  </si>
  <si>
    <t>Última actualização: 2022-04-22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</si>
  <si>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</si>
  <si>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</si>
  <si>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</si>
  <si>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</si>
  <si>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</si>
  <si>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</si>
  <si>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</si>
  <si>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</si>
  <si>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</si>
  <si>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</si>
  <si>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</si>
  <si>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</si>
  <si>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</si>
  <si>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</si>
  <si>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</si>
  <si>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</si>
  <si>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</si>
  <si>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</si>
  <si>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</si>
  <si>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</si>
  <si>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</si>
  <si>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</si>
  <si>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</si>
  <si>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</si>
  <si>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</si>
  <si>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</si>
  <si>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</si>
  <si>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</si>
  <si>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</si>
  <si>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</si>
  <si>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</si>
  <si>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Dados obtidos em https:www.pordata.pt a 17-06-2022</t>
  </si>
  <si>
    <t xml:space="preserve"> </t>
  </si>
  <si>
    <t>Âmbito geográfico:</t>
  </si>
  <si>
    <t>Portugal</t>
  </si>
  <si>
    <t>Operação estatística:</t>
  </si>
  <si>
    <t>Inquérito ao Emprego</t>
  </si>
  <si>
    <t>Tipo de operação estatística:</t>
  </si>
  <si>
    <t>Inquérito amostral</t>
  </si>
  <si>
    <t>Período ou momento de referência:</t>
  </si>
  <si>
    <t>Ano civil</t>
  </si>
  <si>
    <t>Periodicidade:</t>
  </si>
  <si>
    <t>Trimestral/Anual</t>
  </si>
  <si>
    <t>Entidade responsável:</t>
  </si>
  <si>
    <t>INE</t>
  </si>
  <si>
    <t>Notas:</t>
  </si>
  <si>
    <t>Os valores apresentados foram calculados a partir de uma média aritmética simples dos valores trimestrais do Inquérito ao Emprego.</t>
  </si>
  <si>
    <t>Conceitos</t>
  </si>
  <si>
    <t>Nome</t>
  </si>
  <si>
    <t>Descrição</t>
  </si>
  <si>
    <t>Definição</t>
  </si>
  <si>
    <t>Duração Efectiva de Trabalho</t>
  </si>
  <si>
    <t>Número de horas efectivamente trabalhadas no período de referência. Inclui as horas extraordinárias. (metainformação – INE)</t>
  </si>
  <si>
    <t>Trabalhador por Conta de Outrem</t>
  </si>
  <si>
    <t>Indivíduo que exerce uma actividade sob a autoridade e direcção de outrem, nos termos de um contrato de trabalho, sujeito ou não a forma escrita, e que lhe confere o direito a uma remuneração, a qual não depende dos resultados da unidade económica para a qual trabalha. (metainformação – INE)</t>
  </si>
  <si>
    <t>Actividade Económica</t>
  </si>
  <si>
    <t>A actividade económica inclui a agricultura, a indústria transformadora, a construção e obras públicas, o comércio e outros ramos de actividade em que se podem agrupar quem produz o mesmo tipo de bens e de serviços. É frequente agrupar as actividades económicas em três grandes sectores: 1. Primário, incluindo agricultura, floresta, caça, pesca e extracção mineral; 2. Secundário, incluindo indústria transformadora e construção; e 3. Terciário, incluindo os serviços, tais como comércio, transportes, administração pública, educação ou saúde.</t>
  </si>
  <si>
    <t>Uma actividade resulta de uma combinação de recursos, tais como equipamentos, mão-de-obra, técnicas de fabricação, redes de informação e produtos, que conduzem à criação de bens ou de serviços determinados. Qualquer actividade se caracteriza por uma entrada de produtos (bens ou serviços), um processo de produção e uma saída de produtos.
Um ramo de actividade agrupa as unidades de actividade económica ao nível local que exercem uma actividade económica idêntica ou similar. (metainformação – Sistema Europeu de Contas)</t>
  </si>
  <si>
    <t>Séries</t>
  </si>
  <si>
    <t>Série</t>
  </si>
  <si>
    <t>Unidade de Medida</t>
  </si>
  <si>
    <t>Tipo Valor</t>
  </si>
  <si>
    <t>Escala</t>
  </si>
  <si>
    <t>Notas</t>
  </si>
  <si>
    <t>Hora</t>
  </si>
  <si>
    <t>Média</t>
  </si>
  <si>
    <t>N.º</t>
  </si>
  <si>
    <t>Inclui horas extraordinárias.
A partir de 1998, os valores são calibrados tendo por referência as estimativas da população calculadas a partir dos resultados definitivos dos Censos 2011.
O conceito de Administração Pública é entendido como o conjunto de actividades de regulamentação e apoio à gestão de actividades que, pela sua natureza, não podem exercer-se numa base de mercado. Assim, o estatuto jurídico ou institucional não é determinante para classificar nesta secção as unidades do “tipo administrativo”. Há actividades (ex: ensino, saúde) que não pertencem ao âmbito desta secção, ainda que a Administração Pública desenvolva estas actividades num nível mais ou menos elevado.</t>
  </si>
  <si>
    <t>Notas de Ano</t>
  </si>
  <si>
    <t>Ano</t>
  </si>
  <si>
    <t>O valor apresentado é uma média semestral.</t>
  </si>
  <si>
    <t>Não</t>
  </si>
  <si>
    <t xml:space="preserve">Alterações metodológicas significativas no que respeita ao plano de amostragem, dimensão e rotação da amostra, recolha de informação, período de referência e ao nível do questionário e conceitos.
Para a classificação da situação de empregado e de desempregado a idade mínima considerada, na operação estatística, é de 12 anos até 1991; 14 anos, de 1992 a 1997; e de 15 anos a partir de 1998.
Alteração da Classificação das Actividades Económicas (CAE): Rev.1 até 1991 e Rev.2 a partir de 1992. </t>
  </si>
  <si>
    <t>Sim</t>
  </si>
  <si>
    <t>Alterações metodológicas significativas no que respeita ao plano de amostragem, dimensão e rotação da amostra, recolha de informação, período de referência e ao nível do questionário e conceitos.
Para a classificação da situação de empregado e de desempregado, a idade mínima considerada, na operação estatística, é de 12 anos até 1991; 14 anos, de 1992 a 1997; e de 15 anos a partir de 1998.</t>
  </si>
  <si>
    <t>Alteração da Classificação das Actividades Económicas (CAE): Rev.2.1 até 2007 e Rev.3 a partir de 2008.</t>
  </si>
  <si>
    <t>Alterações metodológicas com vista à harmonização dos conceitos e métodos estatísticos ao nível europeu no que respeita: à alteração do questionário, da amostra, à mudança de idade da população activa e empregada de 15 e mais anos para 16 aos 89 anos, à mudança de idade da população desempregada de 15 a 74 anos para 16 a 74 anos e do conceito de emprego (que passou a excluir as pessoas ocupadas em actividades de agricultura e pesca para autoconsumo).</t>
  </si>
  <si>
    <t>Para mais detalhes sobre os dados, consulte o documento de notas adicionais disponível na metainformação do quadro publicado em www.pordata.pt.</t>
  </si>
  <si>
    <t>Column1</t>
  </si>
  <si>
    <t>Column2</t>
  </si>
  <si>
    <t>Primário</t>
  </si>
  <si>
    <t>Secundário</t>
  </si>
  <si>
    <t>Column6</t>
  </si>
  <si>
    <t>Terciário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</si>
</sst>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##,##0.0;\ \-##,##0.0"/>
    <numFmt numFmtId="165" formatCode="\┴\ \ ##,##0.0;\┴\ \ \-##,##0.0"/>
    <numFmt numFmtId="166" formatCode="\(\R\)\ ##,##0.0;\(\R\)\ \-##,##0.0"/>
    <numFmt numFmtId="167" formatCode="0.0"/>
  </numFmts>
  <fonts count="13" x14ac:knownFonts="1">
    <font>
      <sz val="10"/>
      <name val="Arial"/>
    </font>
    <font>
      <sz val="10"/>
      <color indexed="0"/>
      <name val="Arial"/>
    </font>
    <font>
      <b/>
      <sz val="10"/>
      <color indexed="0"/>
      <name val="Arial"/>
    </font>
    <font>
      <b/>
      <sz val="12"/>
      <color indexed="0"/>
      <name val="Arial"/>
    </font>
    <font>
      <b/>
      <sz val="11"/>
      <color indexed="8"/>
      <name val="Arial"/>
    </font>
    <font>
      <sz val="8"/>
      <color indexed="0"/>
      <name val="Arial"/>
    </font>
    <font>
      <b/>
      <sz val="12"/>
      <color indexed="8"/>
      <name val="Arial"/>
    </font>
    <font>
      <b/>
      <sz val="8"/>
      <color indexed="14"/>
      <name val="Arial"/>
    </font>
    <font>
      <b/>
      <sz val="14"/>
      <color indexed="15"/>
      <name val="Arial"/>
    </font>
    <font>
      <b/>
      <sz val="10"/>
      <color indexed="17"/>
      <name val="Arial"/>
    </font>
    <font>
      <b/>
      <sz val="12"/>
      <color indexed="15"/>
      <name val="Arial"/>
    </font>
    <font>
      <b/>
      <sz val="10"/>
      <color indexed="15"/>
      <name val="Arial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"/>
      </patternFill>
    </fill>
    <fill>
      <patternFill patternType="solid">
        <fgColor indexed="2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16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/>
      <right/>
      <top/>
      <bottom/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>
      <left/>
      <right/>
      <top/>
      <bottom style="thin">
        <color indexed="10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/>
      <top style="thin">
        <color indexed="10"/>
      </top>
      <bottom style="thin">
        <color indexed="10"/>
      </bottom>
      <diagonal/>
    </border>
    <border diagonalDown="1">
      <left/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/>
      <bottom style="thin">
        <color indexed="10"/>
      </bottom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5">
    <xf numFmtId="0" fontId="0" fillId="0" borderId="0"/>
    <xf numFmtId="0" fontId="2" fillId="3" borderId="1">
      <alignment horizontal="center" vertical="top" wrapText="1"/>
    </xf>
    <xf numFmtId="0" fontId="1" fillId="3" borderId="1">
      <alignment horizontal="center" vertical="top" wrapText="1"/>
    </xf>
    <xf numFmtId="0" fontId="2" fillId="2" borderId="1">
      <alignment horizontal="center" vertical="top" wrapText="1"/>
    </xf>
    <xf numFmtId="0" fontId="1" fillId="2" borderId="1">
      <alignment horizontal="center" vertical="top" wrapText="1"/>
    </xf>
  </cellStyleXfs>
  <cellXfs count="52">
    <xf numFmtId="0" fontId="0" fillId="0" borderId="0" xfId="0"/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1" xfId="3">
      <alignment horizontal="center" vertical="top" wrapText="1"/>
    </xf>
    <xf numFmtId="164" fontId="1" fillId="2" borderId="1" xfId="4" applyNumberFormat="1">
      <alignment horizontal="center" vertical="top" wrapText="1"/>
    </xf>
    <xf numFmtId="0" fontId="2" fillId="3" borderId="1" xfId="1">
      <alignment horizontal="center" vertical="top" wrapText="1"/>
    </xf>
    <xf numFmtId="164" fontId="1" fillId="3" borderId="1" xfId="2" applyNumberFormat="1">
      <alignment horizontal="center" vertical="top" wrapText="1"/>
    </xf>
    <xf numFmtId="165" fontId="1" fillId="3" borderId="1" xfId="2" applyNumberFormat="1">
      <alignment horizontal="center" vertical="top" wrapText="1"/>
    </xf>
    <xf numFmtId="165" fontId="1" fillId="2" borderId="1" xfId="4" applyNumberFormat="1">
      <alignment horizontal="center" vertical="top" wrapText="1"/>
    </xf>
    <xf numFmtId="166" fontId="1" fillId="2" borderId="1" xfId="4" applyNumberFormat="1">
      <alignment horizontal="center" vertical="top" wrapText="1"/>
    </xf>
    <xf numFmtId="0" fontId="2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6" fillId="7" borderId="3" xfId="0" applyFont="1" applyFill="1" applyBorder="1" applyAlignment="1">
      <alignment vertical="top"/>
    </xf>
    <xf numFmtId="0" fontId="2" fillId="7" borderId="3" xfId="0" applyFont="1" applyFill="1" applyBorder="1" applyAlignment="1">
      <alignment horizontal="right" vertical="top" wrapText="1"/>
    </xf>
    <xf numFmtId="0" fontId="1" fillId="7" borderId="3" xfId="0" applyFont="1" applyFill="1" applyBorder="1" applyAlignment="1">
      <alignment vertical="top"/>
    </xf>
    <xf numFmtId="0" fontId="7" fillId="7" borderId="4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right" vertical="top" wrapText="1"/>
    </xf>
    <xf numFmtId="0" fontId="1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top"/>
    </xf>
    <xf numFmtId="167" fontId="1" fillId="2" borderId="1" xfId="4" applyNumberFormat="1">
      <alignment horizontal="center" vertical="top" wrapText="1"/>
    </xf>
    <xf numFmtId="167" fontId="1" fillId="3" borderId="1" xfId="2" applyNumberFormat="1">
      <alignment horizontal="center" vertical="top" wrapText="1"/>
    </xf>
    <xf numFmtId="0" fontId="2" fillId="10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167" fontId="1" fillId="2" borderId="13" xfId="4" applyNumberFormat="1" applyBorder="1">
      <alignment horizontal="center" vertical="top" wrapText="1"/>
    </xf>
    <xf numFmtId="14" fontId="2" fillId="2" borderId="8" xfId="3" applyNumberFormat="1" applyBorder="1">
      <alignment horizontal="center" vertical="top" wrapText="1"/>
    </xf>
    <xf numFmtId="14" fontId="2" fillId="3" borderId="8" xfId="1" applyNumberFormat="1" applyBorder="1">
      <alignment horizontal="center" vertical="top" wrapText="1"/>
    </xf>
    <xf numFmtId="14" fontId="2" fillId="2" borderId="12" xfId="3" applyNumberFormat="1" applyBorder="1">
      <alignment horizontal="center" vertical="top" wrapText="1"/>
    </xf>
    <xf numFmtId="167" fontId="1" fillId="3" borderId="14" xfId="2" applyNumberFormat="1" applyBorder="1">
      <alignment horizontal="center" vertical="top" wrapText="1"/>
    </xf>
    <xf numFmtId="0" fontId="2" fillId="11" borderId="15" xfId="0" applyFont="1" applyFill="1" applyBorder="1" applyAlignment="1">
      <alignment horizontal="center" vertical="center" wrapText="1"/>
    </xf>
    <xf numFmtId="0" fontId="1" fillId="2" borderId="14" xfId="4" applyBorder="1">
      <alignment horizontal="center" vertical="top" wrapText="1"/>
    </xf>
    <xf numFmtId="0" fontId="0" fillId="0" borderId="0" xfId="0"/>
    <xf numFmtId="0" fontId="3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0" fillId="7" borderId="7" xfId="0" applyFont="1" applyFill="1" applyBorder="1" applyAlignment="1">
      <alignment vertical="top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8" fillId="7" borderId="6" xfId="0" applyFont="1" applyFill="1" applyBorder="1" applyAlignment="1">
      <alignment vertical="center" wrapText="1"/>
    </xf>
  </cellXfs>
  <cellStyles count="5">
    <cellStyle name="Normal" xfId="0" builtinId="0"/>
    <cellStyle name="TableEvenline" xfId="1" xr:uid="{00000000-0005-0000-0000-000001000000}"/>
    <cellStyle name="TableEvenlineData" xfId="2" xr:uid="{00000000-0005-0000-0000-000002000000}"/>
    <cellStyle name="TableOddline" xfId="3" xr:uid="{00000000-0005-0000-0000-000003000000}"/>
    <cellStyle name="TableOddlineData" xfId="4" xr:uid="{00000000-0005-0000-0000-000004000000}"/>
  </cellStyles>
  <dxfs count="9"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border diagonalUp="0" diagonalDown="1">
        <left/>
        <right style="thin">
          <color indexed="10"/>
        </right>
        <top style="thin">
          <color indexed="10"/>
        </top>
        <bottom style="thin">
          <color indexed="10"/>
        </bottom>
        <diagonal/>
        <vertical/>
        <horizontal/>
      </border>
    </dxf>
    <dxf>
      <border outline="0">
        <top style="thin">
          <color indexed="10"/>
        </top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 outline="0"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scheme val="none"/>
      </font>
      <fill>
        <patternFill patternType="solid">
          <fgColor indexed="64"/>
          <bgColor indexed="11"/>
        </patternFill>
      </fill>
      <alignment horizontal="center" vertical="center" textRotation="0" wrapText="1" indent="0" justifyLastLine="0" shrinkToFit="0" readingOrder="0"/>
      <border diagonalUp="0" diagonalDown="1" outline="0">
        <left style="thin">
          <color indexed="10"/>
        </left>
        <right style="thin">
          <color indexed="10"/>
        </right>
        <top/>
        <bottom/>
        <diagon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9A8EF"/>
      <rgbColor rgb="00E2EAF0"/>
      <rgbColor rgb="00DDDDDD"/>
      <rgbColor rgb="00D0F38B"/>
      <rgbColor rgb="00E2F7B4"/>
      <rgbColor rgb="00EDEDED"/>
      <rgbColor rgb="00005586"/>
      <rgbColor rgb="00121212"/>
      <rgbColor rgb="009BE401"/>
      <rgbColor rgb="00444444"/>
      <rgbColor rgb="00DCDBDB"/>
      <rgbColor rgb="00EBEBEB"/>
      <rgbColor rgb="00F9F9F9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228600</xdr:colOff>
      <xdr:row>0</xdr:row>
      <xdr:rowOff>485775</xdr:rowOff>
    </xdr:to>
    <xdr:pic>
      <xdr:nvPicPr>
        <xdr:cNvPr id="1031" name="Picture 005be70a-37a3-483c-bb65-d30ecf486858">
          <a:extLst>
            <a:ext uri="{FF2B5EF4-FFF2-40B4-BE49-F238E27FC236}">
              <a16:creationId xmlns:a16="http://schemas.microsoft.com/office/drawing/2014/main" id="{62166001-AD72-A02B-2D4C-F85C4C218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908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1304925</xdr:colOff>
      <xdr:row>0</xdr:row>
      <xdr:rowOff>485775</xdr:rowOff>
    </xdr:to>
    <xdr:pic>
      <xdr:nvPicPr>
        <xdr:cNvPr id="1032" name="Picture 4623d2ca-58b8-498e-a3eb-c15253832634">
          <a:extLst>
            <a:ext uri="{FF2B5EF4-FFF2-40B4-BE49-F238E27FC236}">
              <a16:creationId xmlns:a16="http://schemas.microsoft.com/office/drawing/2014/main" id="{4662AD87-9231-A645-87F5-42F4563C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18687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0</xdr:row>
      <xdr:rowOff>485775</xdr:rowOff>
    </xdr:to>
    <xdr:pic>
      <xdr:nvPicPr>
        <xdr:cNvPr id="2055" name="Picture a5696592-4acc-4bd9-88eb-164aaa029d11">
          <a:extLst>
            <a:ext uri="{FF2B5EF4-FFF2-40B4-BE49-F238E27FC236}">
              <a16:creationId xmlns:a16="http://schemas.microsoft.com/office/drawing/2014/main" id="{5FE68BB4-AE8E-6500-09EF-B6DDCA55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81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1304925</xdr:colOff>
      <xdr:row>0</xdr:row>
      <xdr:rowOff>485775</xdr:rowOff>
    </xdr:to>
    <xdr:pic>
      <xdr:nvPicPr>
        <xdr:cNvPr id="2056" name="Picture d5bc8e7a-fa92-450a-b2f5-ea7f95b2c423">
          <a:extLst>
            <a:ext uri="{FF2B5EF4-FFF2-40B4-BE49-F238E27FC236}">
              <a16:creationId xmlns:a16="http://schemas.microsoft.com/office/drawing/2014/main" id="{E3D1769F-A008-2B4F-37FE-E31E8FFAE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4AA8B-A4A3-4EDC-833B-43A24A840C3F}" name="Table1" displayName="Table1" ref="A1:E11" totalsRowShown="0" headerRowDxfId="8" headerRowBorderDxfId="7" tableBorderDxfId="6" totalsRowBorderDxfId="5" dataCellStyle="TableEvenlineData">
  <autoFilter ref="A1:E11" xr:uid="{0E94AA8B-A4A3-4EDC-833B-43A24A840C3F}"/>
  <tableColumns count="5">
    <tableColumn id="1" xr3:uid="{6DA86AA0-53D0-40E9-87DB-01A2050405FC}" name="Anos" dataDxfId="4" dataCellStyle="TableEvenline"/>
    <tableColumn id="2" xr3:uid="{BFB1FC8B-F121-44AF-BC50-1597EA04CDA6}" name="Sectores de actividade económica" dataDxfId="3" dataCellStyle="TableEvenlineData"/>
    <tableColumn id="3" xr3:uid="{80BAEDB0-28DB-466C-81D1-C920956586D2}" name="Column1" dataDxfId="2" dataCellStyle="TableEvenlineData"/>
    <tableColumn id="4" xr3:uid="{5531B04A-30A3-409F-AD45-ED0CDB51182F}" name="Column2" dataDxfId="1" dataCellStyle="TableEvenlineData"/>
    <tableColumn id="8" xr3:uid="{BCFAEC2F-A51E-4FB1-B48B-D9C39D6684DA}" name="Column6" dataDxfId="0" dataCellStyle="TableEvenline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9" sqref="C19"/>
    </sheetView>
  </sheetViews>
  <sheetFormatPr defaultRowHeight="12.75" x14ac:dyDescent="0.2"/>
  <cols>
    <col min="1" max="1" width="10.140625" bestFit="1" customWidth="1"/>
    <col min="2" max="2" width="34.42578125" customWidth="1"/>
    <col min="3" max="7" width="20.7109375" customWidth="1"/>
  </cols>
  <sheetData>
    <row r="1" spans="1:5" x14ac:dyDescent="0.2">
      <c r="A1" s="31" t="s">
        <v>2</v>
      </c>
      <c r="B1" s="32" t="s">
        <v>4</v>
      </c>
      <c r="C1" s="32" t="s">
        <v>92</v>
      </c>
      <c r="D1" s="32" t="s">
        <v>93</v>
      </c>
      <c r="E1" s="38" t="s">
        <v>96</v>
      </c>
    </row>
    <row r="2" spans="1:5" x14ac:dyDescent="0.2">
      <c r="A2" s="29"/>
      <c r="B2" s="7" t="s">
        <v>5</v>
      </c>
      <c r="C2" s="7" t="s">
        <v>94</v>
      </c>
      <c r="D2" s="7" t="s">
        <v>95</v>
      </c>
      <c r="E2" s="30" t="s">
        <v>97</v>
      </c>
    </row>
    <row r="3" spans="1:5" x14ac:dyDescent="0.2">
      <c r="A3" s="34">
        <v>41456</v>
      </c>
      <c r="B3" s="27">
        <f>SUM(Table1[[#This Row],[Column1]:[Column6]])</f>
        <v>107.63333333333333</v>
      </c>
      <c r="C3" s="27">
        <v>35.9</v>
      </c>
      <c r="D3" s="27">
        <v>36.200000000000003</v>
      </c>
      <c r="E3" s="39">
        <f>106.6/3</f>
        <v>35.533333333333331</v>
      </c>
    </row>
    <row r="4" spans="1:5" x14ac:dyDescent="0.2">
      <c r="A4" s="35">
        <v>41821</v>
      </c>
      <c r="B4" s="27">
        <f>SUM(Table1[[#This Row],[Column1]:[Column6]])</f>
        <v>104.76666666666668</v>
      </c>
      <c r="C4" s="28">
        <v>33.5</v>
      </c>
      <c r="D4" s="28">
        <v>35.9</v>
      </c>
      <c r="E4" s="37">
        <f>106.1/3</f>
        <v>35.366666666666667</v>
      </c>
    </row>
    <row r="5" spans="1:5" x14ac:dyDescent="0.2">
      <c r="A5" s="34">
        <v>42186</v>
      </c>
      <c r="B5" s="27">
        <f>SUM(Table1[[#This Row],[Column1]:[Column6]])</f>
        <v>106.1</v>
      </c>
      <c r="C5" s="27">
        <v>35</v>
      </c>
      <c r="D5" s="27">
        <v>35.9</v>
      </c>
      <c r="E5" s="39">
        <f>105.6/3</f>
        <v>35.199999999999996</v>
      </c>
    </row>
    <row r="6" spans="1:5" x14ac:dyDescent="0.2">
      <c r="A6" s="35">
        <v>42552</v>
      </c>
      <c r="B6" s="27">
        <f>SUM(Table1[[#This Row],[Column1]:[Column6]])</f>
        <v>103.69999999999999</v>
      </c>
      <c r="C6" s="28">
        <v>33.700000000000003</v>
      </c>
      <c r="D6" s="28">
        <v>35.299999999999997</v>
      </c>
      <c r="E6" s="37">
        <f>104.1/3</f>
        <v>34.699999999999996</v>
      </c>
    </row>
    <row r="7" spans="1:5" x14ac:dyDescent="0.2">
      <c r="A7" s="34">
        <v>42917</v>
      </c>
      <c r="B7" s="27">
        <f>SUM(Table1[[#This Row],[Column1]:[Column6]])</f>
        <v>104.66666666666666</v>
      </c>
      <c r="C7" s="27">
        <v>34.700000000000003</v>
      </c>
      <c r="D7" s="27">
        <v>35.4</v>
      </c>
      <c r="E7" s="39">
        <f>103.7/3</f>
        <v>34.56666666666667</v>
      </c>
    </row>
    <row r="8" spans="1:5" x14ac:dyDescent="0.2">
      <c r="A8" s="35">
        <v>43282</v>
      </c>
      <c r="B8" s="27">
        <f>SUM(Table1[[#This Row],[Column1]:[Column6]])</f>
        <v>104.63333333333333</v>
      </c>
      <c r="C8" s="28">
        <v>34.799999999999997</v>
      </c>
      <c r="D8" s="28">
        <v>35.5</v>
      </c>
      <c r="E8" s="37">
        <f>103/3</f>
        <v>34.333333333333336</v>
      </c>
    </row>
    <row r="9" spans="1:5" x14ac:dyDescent="0.2">
      <c r="A9" s="34">
        <v>43647</v>
      </c>
      <c r="B9" s="27">
        <f>SUM(Table1[[#This Row],[Column1]:[Column6]])</f>
        <v>104.86666666666667</v>
      </c>
      <c r="C9" s="27">
        <v>35.1</v>
      </c>
      <c r="D9" s="27">
        <v>35.299999999999997</v>
      </c>
      <c r="E9" s="39">
        <f>103.4/3</f>
        <v>34.466666666666669</v>
      </c>
    </row>
    <row r="10" spans="1:5" x14ac:dyDescent="0.2">
      <c r="A10" s="35">
        <v>44013</v>
      </c>
      <c r="B10" s="27">
        <f>SUM(Table1[[#This Row],[Column1]:[Column6]])</f>
        <v>98.200000000000017</v>
      </c>
      <c r="C10" s="28">
        <v>33.1</v>
      </c>
      <c r="D10" s="28">
        <v>32.799999999999997</v>
      </c>
      <c r="E10" s="37">
        <f>96.9/3</f>
        <v>32.300000000000004</v>
      </c>
    </row>
    <row r="11" spans="1:5" x14ac:dyDescent="0.2">
      <c r="A11" s="36">
        <v>44378</v>
      </c>
      <c r="B11" s="27">
        <f>SUM(Table1[[#This Row],[Column1]:[Column6]])</f>
        <v>101.5</v>
      </c>
      <c r="C11" s="33">
        <v>34.5</v>
      </c>
      <c r="D11" s="33">
        <v>34</v>
      </c>
      <c r="E11" s="39">
        <f>99/3</f>
        <v>33</v>
      </c>
    </row>
  </sheetData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69"/>
  <sheetViews>
    <sheetView showGridLines="0" topLeftCell="A18" workbookViewId="0">
      <selection activeCell="B24" sqref="B24"/>
    </sheetView>
  </sheetViews>
  <sheetFormatPr defaultColWidth="20.7109375" defaultRowHeight="12.75" x14ac:dyDescent="0.2"/>
  <sheetData>
    <row r="1" spans="1:256" ht="40.15" customHeight="1" x14ac:dyDescent="0.2">
      <c r="IV1" s="5"/>
    </row>
    <row r="2" spans="1:256" ht="7.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 s="40" customFormat="1" x14ac:dyDescent="0.2"/>
    <row r="4" spans="1:256" ht="70.150000000000006" customHeight="1" x14ac:dyDescent="0.2">
      <c r="B4" s="41" t="s">
        <v>0</v>
      </c>
      <c r="C4" s="41"/>
      <c r="D4" s="41"/>
      <c r="E4" s="41"/>
      <c r="F4" s="41"/>
      <c r="G4" s="41"/>
    </row>
    <row r="5" spans="1:256" ht="30" customHeight="1" x14ac:dyDescent="0.2">
      <c r="B5" s="42" t="s">
        <v>1</v>
      </c>
      <c r="C5" s="42"/>
      <c r="D5" s="42"/>
      <c r="E5" s="42"/>
      <c r="F5" s="42"/>
      <c r="G5" s="42"/>
    </row>
    <row r="6" spans="1:256" x14ac:dyDescent="0.2">
      <c r="B6" s="44" t="s">
        <v>3</v>
      </c>
      <c r="C6" s="44"/>
      <c r="D6" s="44"/>
      <c r="E6" s="44"/>
      <c r="F6" s="44"/>
      <c r="G6" s="44"/>
    </row>
    <row r="7" spans="1:256" ht="49.9" customHeight="1" x14ac:dyDescent="0.2">
      <c r="A7" s="43" t="s">
        <v>2</v>
      </c>
      <c r="B7" s="45" t="s">
        <v>4</v>
      </c>
      <c r="C7" s="45"/>
      <c r="D7" s="45"/>
      <c r="E7" s="45"/>
      <c r="F7" s="45"/>
      <c r="G7" s="45"/>
    </row>
    <row r="8" spans="1:256" ht="52.15" customHeight="1" x14ac:dyDescent="0.2">
      <c r="A8" s="43"/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</row>
    <row r="9" spans="1:256" x14ac:dyDescent="0.2">
      <c r="A9" s="8">
        <v>1983</v>
      </c>
      <c r="B9" s="9">
        <v>37</v>
      </c>
      <c r="C9" s="9">
        <v>40</v>
      </c>
      <c r="D9" s="9">
        <v>39</v>
      </c>
      <c r="E9" s="9">
        <v>39</v>
      </c>
      <c r="F9" s="9">
        <v>33</v>
      </c>
      <c r="G9" s="9">
        <v>33</v>
      </c>
    </row>
    <row r="10" spans="1:256" x14ac:dyDescent="0.2">
      <c r="A10" s="10">
        <v>1984</v>
      </c>
      <c r="B10" s="11">
        <v>38</v>
      </c>
      <c r="C10" s="11">
        <v>40.9</v>
      </c>
      <c r="D10" s="11">
        <v>39.299999999999997</v>
      </c>
      <c r="E10" s="11">
        <v>39.299999999999997</v>
      </c>
      <c r="F10" s="11">
        <v>33.700000000000003</v>
      </c>
      <c r="G10" s="11">
        <v>34.5</v>
      </c>
    </row>
    <row r="11" spans="1:256" x14ac:dyDescent="0.2">
      <c r="A11" s="8">
        <v>1985</v>
      </c>
      <c r="B11" s="9">
        <v>39.1</v>
      </c>
      <c r="C11" s="9">
        <v>40.4</v>
      </c>
      <c r="D11" s="9">
        <v>40.299999999999997</v>
      </c>
      <c r="E11" s="9">
        <v>40.4</v>
      </c>
      <c r="F11" s="9">
        <v>34.200000000000003</v>
      </c>
      <c r="G11" s="9">
        <v>36.1</v>
      </c>
    </row>
    <row r="12" spans="1:256" x14ac:dyDescent="0.2">
      <c r="A12" s="10">
        <v>1986</v>
      </c>
      <c r="B12" s="11">
        <v>38.200000000000003</v>
      </c>
      <c r="C12" s="11">
        <v>39.200000000000003</v>
      </c>
      <c r="D12" s="11">
        <v>39.6</v>
      </c>
      <c r="E12" s="11">
        <v>40.299999999999997</v>
      </c>
      <c r="F12" s="11">
        <v>34.6</v>
      </c>
      <c r="G12" s="11">
        <v>34.4</v>
      </c>
    </row>
    <row r="13" spans="1:256" x14ac:dyDescent="0.2">
      <c r="A13" s="8">
        <v>1987</v>
      </c>
      <c r="B13" s="9">
        <v>38.5</v>
      </c>
      <c r="C13" s="9">
        <v>39.9</v>
      </c>
      <c r="D13" s="9">
        <v>40</v>
      </c>
      <c r="E13" s="9">
        <v>40.299999999999997</v>
      </c>
      <c r="F13" s="9">
        <v>35.1</v>
      </c>
      <c r="G13" s="9">
        <v>34.299999999999997</v>
      </c>
    </row>
    <row r="14" spans="1:256" x14ac:dyDescent="0.2">
      <c r="A14" s="10">
        <v>1988</v>
      </c>
      <c r="B14" s="11">
        <v>38.799999999999997</v>
      </c>
      <c r="C14" s="11">
        <v>40.799999999999997</v>
      </c>
      <c r="D14" s="11">
        <v>40.6</v>
      </c>
      <c r="E14" s="11">
        <v>40.6</v>
      </c>
      <c r="F14" s="11">
        <v>35.1</v>
      </c>
      <c r="G14" s="11">
        <v>34.6</v>
      </c>
    </row>
    <row r="15" spans="1:256" x14ac:dyDescent="0.2">
      <c r="A15" s="8">
        <v>1989</v>
      </c>
      <c r="B15" s="9">
        <v>38.6</v>
      </c>
      <c r="C15" s="9">
        <v>41.4</v>
      </c>
      <c r="D15" s="9">
        <v>40.5</v>
      </c>
      <c r="E15" s="9">
        <v>40.5</v>
      </c>
      <c r="F15" s="9">
        <v>35.1</v>
      </c>
      <c r="G15" s="9">
        <v>34</v>
      </c>
    </row>
    <row r="16" spans="1:256" x14ac:dyDescent="0.2">
      <c r="A16" s="10">
        <v>1990</v>
      </c>
      <c r="B16" s="11">
        <v>38.5</v>
      </c>
      <c r="C16" s="11">
        <v>41</v>
      </c>
      <c r="D16" s="11">
        <v>40.299999999999997</v>
      </c>
      <c r="E16" s="11">
        <v>40.799999999999997</v>
      </c>
      <c r="F16" s="11">
        <v>35.200000000000003</v>
      </c>
      <c r="G16" s="11">
        <v>33.9</v>
      </c>
    </row>
    <row r="17" spans="1:7" x14ac:dyDescent="0.2">
      <c r="A17" s="8">
        <v>1991</v>
      </c>
      <c r="B17" s="9">
        <v>37.6</v>
      </c>
      <c r="C17" s="9">
        <v>40.799999999999997</v>
      </c>
      <c r="D17" s="9">
        <v>39</v>
      </c>
      <c r="E17" s="9">
        <v>40.200000000000003</v>
      </c>
      <c r="F17" s="9">
        <v>34.6</v>
      </c>
      <c r="G17" s="9">
        <v>32.9</v>
      </c>
    </row>
    <row r="18" spans="1:7" x14ac:dyDescent="0.2">
      <c r="A18" s="10">
        <v>1992</v>
      </c>
      <c r="B18" s="12">
        <v>36.299999999999997</v>
      </c>
      <c r="C18" s="12">
        <v>40.5</v>
      </c>
      <c r="D18" s="12">
        <v>37.6</v>
      </c>
      <c r="E18" s="12">
        <v>39.1</v>
      </c>
      <c r="F18" s="12">
        <v>34.6</v>
      </c>
      <c r="G18" s="12">
        <v>31.9</v>
      </c>
    </row>
    <row r="19" spans="1:7" x14ac:dyDescent="0.2">
      <c r="A19" s="8">
        <v>1993</v>
      </c>
      <c r="B19" s="9">
        <v>36.5</v>
      </c>
      <c r="C19" s="9">
        <v>41.2</v>
      </c>
      <c r="D19" s="9">
        <v>37.6</v>
      </c>
      <c r="E19" s="9">
        <v>39.799999999999997</v>
      </c>
      <c r="F19" s="9">
        <v>34.9</v>
      </c>
      <c r="G19" s="9">
        <v>32.200000000000003</v>
      </c>
    </row>
    <row r="20" spans="1:7" x14ac:dyDescent="0.2">
      <c r="A20" s="10">
        <v>1994</v>
      </c>
      <c r="B20" s="11">
        <v>36.9</v>
      </c>
      <c r="C20" s="11">
        <v>42.1</v>
      </c>
      <c r="D20" s="11">
        <v>38.1</v>
      </c>
      <c r="E20" s="11">
        <v>40.5</v>
      </c>
      <c r="F20" s="11">
        <v>35.200000000000003</v>
      </c>
      <c r="G20" s="11">
        <v>32.5</v>
      </c>
    </row>
    <row r="21" spans="1:7" x14ac:dyDescent="0.2">
      <c r="A21" s="8">
        <v>1995</v>
      </c>
      <c r="B21" s="9">
        <v>36.6</v>
      </c>
      <c r="C21" s="9">
        <v>41.1</v>
      </c>
      <c r="D21" s="9">
        <v>37.200000000000003</v>
      </c>
      <c r="E21" s="9">
        <v>39.799999999999997</v>
      </c>
      <c r="F21" s="9">
        <v>35.700000000000003</v>
      </c>
      <c r="G21" s="9">
        <v>32.6</v>
      </c>
    </row>
    <row r="22" spans="1:7" x14ac:dyDescent="0.2">
      <c r="A22" s="10">
        <v>1996</v>
      </c>
      <c r="B22" s="11">
        <v>36.799999999999997</v>
      </c>
      <c r="C22" s="11">
        <v>39.9</v>
      </c>
      <c r="D22" s="11">
        <v>38.200000000000003</v>
      </c>
      <c r="E22" s="11">
        <v>39.799999999999997</v>
      </c>
      <c r="F22" s="11">
        <v>35.6</v>
      </c>
      <c r="G22" s="11">
        <v>32.6</v>
      </c>
    </row>
    <row r="23" spans="1:7" x14ac:dyDescent="0.2">
      <c r="A23" s="8">
        <v>1997</v>
      </c>
      <c r="B23" s="9">
        <v>36.4</v>
      </c>
      <c r="C23" s="9">
        <v>37.9</v>
      </c>
      <c r="D23" s="9">
        <v>37.5</v>
      </c>
      <c r="E23" s="9">
        <v>39.299999999999997</v>
      </c>
      <c r="F23" s="9">
        <v>36.200000000000003</v>
      </c>
      <c r="G23" s="9">
        <v>32.4</v>
      </c>
    </row>
    <row r="24" spans="1:7" x14ac:dyDescent="0.2">
      <c r="A24" s="10">
        <v>1998</v>
      </c>
      <c r="B24" s="12">
        <v>36.6</v>
      </c>
      <c r="C24" s="12">
        <v>39.9</v>
      </c>
      <c r="D24" s="12">
        <v>36.700000000000003</v>
      </c>
      <c r="E24" s="12">
        <v>39.1</v>
      </c>
      <c r="F24" s="12">
        <v>35.5</v>
      </c>
      <c r="G24" s="12">
        <v>33</v>
      </c>
    </row>
    <row r="25" spans="1:7" x14ac:dyDescent="0.2">
      <c r="A25" s="8">
        <v>1999</v>
      </c>
      <c r="B25" s="9">
        <v>36.5</v>
      </c>
      <c r="C25" s="9">
        <v>38.5</v>
      </c>
      <c r="D25" s="9">
        <v>36.700000000000003</v>
      </c>
      <c r="E25" s="9">
        <v>39.200000000000003</v>
      </c>
      <c r="F25" s="9">
        <v>35.799999999999997</v>
      </c>
      <c r="G25" s="9">
        <v>33.200000000000003</v>
      </c>
    </row>
    <row r="26" spans="1:7" x14ac:dyDescent="0.2">
      <c r="A26" s="10">
        <v>2000</v>
      </c>
      <c r="B26" s="11">
        <v>36.200000000000003</v>
      </c>
      <c r="C26" s="11">
        <v>37.5</v>
      </c>
      <c r="D26" s="11">
        <v>36.6</v>
      </c>
      <c r="E26" s="11">
        <v>38.5</v>
      </c>
      <c r="F26" s="11">
        <v>34.700000000000003</v>
      </c>
      <c r="G26" s="11">
        <v>32.9</v>
      </c>
    </row>
    <row r="27" spans="1:7" x14ac:dyDescent="0.2">
      <c r="A27" s="8">
        <v>2001</v>
      </c>
      <c r="B27" s="9">
        <v>36</v>
      </c>
      <c r="C27" s="9">
        <v>37</v>
      </c>
      <c r="D27" s="9">
        <v>36.4</v>
      </c>
      <c r="E27" s="9">
        <v>38.1</v>
      </c>
      <c r="F27" s="9">
        <v>34.700000000000003</v>
      </c>
      <c r="G27" s="9">
        <v>32.700000000000003</v>
      </c>
    </row>
    <row r="28" spans="1:7" x14ac:dyDescent="0.2">
      <c r="A28" s="10">
        <v>2002</v>
      </c>
      <c r="B28" s="11">
        <v>35.700000000000003</v>
      </c>
      <c r="C28" s="11">
        <v>37</v>
      </c>
      <c r="D28" s="11">
        <v>36</v>
      </c>
      <c r="E28" s="11">
        <v>37.799999999999997</v>
      </c>
      <c r="F28" s="11">
        <v>35</v>
      </c>
      <c r="G28" s="11">
        <v>32.4</v>
      </c>
    </row>
    <row r="29" spans="1:7" x14ac:dyDescent="0.2">
      <c r="A29" s="8">
        <v>2003</v>
      </c>
      <c r="B29" s="9">
        <v>35.299999999999997</v>
      </c>
      <c r="C29" s="9">
        <v>37.4</v>
      </c>
      <c r="D29" s="9">
        <v>35.9</v>
      </c>
      <c r="E29" s="9">
        <v>37.299999999999997</v>
      </c>
      <c r="F29" s="9">
        <v>34.799999999999997</v>
      </c>
      <c r="G29" s="9">
        <v>32.1</v>
      </c>
    </row>
    <row r="30" spans="1:7" x14ac:dyDescent="0.2">
      <c r="A30" s="10">
        <v>2004</v>
      </c>
      <c r="B30" s="11">
        <v>35.4</v>
      </c>
      <c r="C30" s="11">
        <v>37.200000000000003</v>
      </c>
      <c r="D30" s="11">
        <v>36.1</v>
      </c>
      <c r="E30" s="11">
        <v>37.700000000000003</v>
      </c>
      <c r="F30" s="11">
        <v>36.200000000000003</v>
      </c>
      <c r="G30" s="11">
        <v>32.200000000000003</v>
      </c>
    </row>
    <row r="31" spans="1:7" x14ac:dyDescent="0.2">
      <c r="A31" s="8">
        <v>2005</v>
      </c>
      <c r="B31" s="9">
        <v>35.700000000000003</v>
      </c>
      <c r="C31" s="9">
        <v>36.799999999999997</v>
      </c>
      <c r="D31" s="9">
        <v>36.6</v>
      </c>
      <c r="E31" s="9">
        <v>37.799999999999997</v>
      </c>
      <c r="F31" s="9">
        <v>35.1</v>
      </c>
      <c r="G31" s="9">
        <v>32.700000000000003</v>
      </c>
    </row>
    <row r="32" spans="1:7" x14ac:dyDescent="0.2">
      <c r="A32" s="10">
        <v>2006</v>
      </c>
      <c r="B32" s="11">
        <v>35.700000000000003</v>
      </c>
      <c r="C32" s="11">
        <v>36.700000000000003</v>
      </c>
      <c r="D32" s="11">
        <v>36.799999999999997</v>
      </c>
      <c r="E32" s="11">
        <v>37.5</v>
      </c>
      <c r="F32" s="11">
        <v>34.9</v>
      </c>
      <c r="G32" s="11">
        <v>32.5</v>
      </c>
    </row>
    <row r="33" spans="1:7" x14ac:dyDescent="0.2">
      <c r="A33" s="8">
        <v>2007</v>
      </c>
      <c r="B33" s="9">
        <v>35.200000000000003</v>
      </c>
      <c r="C33" s="9">
        <v>35.299999999999997</v>
      </c>
      <c r="D33" s="9">
        <v>35.9</v>
      </c>
      <c r="E33" s="9">
        <v>37.200000000000003</v>
      </c>
      <c r="F33" s="9">
        <v>35.200000000000003</v>
      </c>
      <c r="G33" s="9">
        <v>32.299999999999997</v>
      </c>
    </row>
    <row r="34" spans="1:7" x14ac:dyDescent="0.2">
      <c r="A34" s="10">
        <v>2008</v>
      </c>
      <c r="B34" s="12">
        <v>35.1</v>
      </c>
      <c r="C34" s="12">
        <v>36</v>
      </c>
      <c r="D34" s="12">
        <v>36.200000000000003</v>
      </c>
      <c r="E34" s="12">
        <v>36.700000000000003</v>
      </c>
      <c r="F34" s="12">
        <v>34.9</v>
      </c>
      <c r="G34" s="12">
        <v>32.1</v>
      </c>
    </row>
    <row r="35" spans="1:7" x14ac:dyDescent="0.2">
      <c r="A35" s="8">
        <v>2009</v>
      </c>
      <c r="B35" s="9">
        <v>35</v>
      </c>
      <c r="C35" s="9">
        <v>34.4</v>
      </c>
      <c r="D35" s="9">
        <v>35.9</v>
      </c>
      <c r="E35" s="9">
        <v>36.9</v>
      </c>
      <c r="F35" s="9">
        <v>35.700000000000003</v>
      </c>
      <c r="G35" s="9">
        <v>32.5</v>
      </c>
    </row>
    <row r="36" spans="1:7" x14ac:dyDescent="0.2">
      <c r="A36" s="10">
        <v>2010</v>
      </c>
      <c r="B36" s="11">
        <v>35.5</v>
      </c>
      <c r="C36" s="11">
        <v>35.9</v>
      </c>
      <c r="D36" s="11">
        <v>36.299999999999997</v>
      </c>
      <c r="E36" s="11">
        <v>37</v>
      </c>
      <c r="F36" s="11">
        <v>35.6</v>
      </c>
      <c r="G36" s="11">
        <v>32.9</v>
      </c>
    </row>
    <row r="37" spans="1:7" x14ac:dyDescent="0.2">
      <c r="A37" s="8">
        <v>2011</v>
      </c>
      <c r="B37" s="13">
        <v>34.9</v>
      </c>
      <c r="C37" s="13">
        <v>36.1</v>
      </c>
      <c r="D37" s="13">
        <v>36.5</v>
      </c>
      <c r="E37" s="13">
        <v>36</v>
      </c>
      <c r="F37" s="13">
        <v>36.9</v>
      </c>
      <c r="G37" s="13">
        <v>32.200000000000003</v>
      </c>
    </row>
    <row r="38" spans="1:7" x14ac:dyDescent="0.2">
      <c r="A38" s="10">
        <v>2012</v>
      </c>
      <c r="B38" s="11">
        <v>34.700000000000003</v>
      </c>
      <c r="C38" s="11">
        <v>34.9</v>
      </c>
      <c r="D38" s="11">
        <v>36.1</v>
      </c>
      <c r="E38" s="11">
        <v>36.200000000000003</v>
      </c>
      <c r="F38" s="11">
        <v>37.299999999999997</v>
      </c>
      <c r="G38" s="11">
        <v>32.6</v>
      </c>
    </row>
    <row r="39" spans="1:7" x14ac:dyDescent="0.2">
      <c r="A39" s="8">
        <v>2013</v>
      </c>
      <c r="B39" s="9">
        <v>34.9</v>
      </c>
      <c r="C39" s="9">
        <v>35.9</v>
      </c>
      <c r="D39" s="9">
        <v>36.200000000000003</v>
      </c>
      <c r="E39" s="9">
        <v>36.4</v>
      </c>
      <c r="F39" s="9">
        <v>37.1</v>
      </c>
      <c r="G39" s="9">
        <v>33.1</v>
      </c>
    </row>
    <row r="40" spans="1:7" x14ac:dyDescent="0.2">
      <c r="A40" s="10">
        <v>2014</v>
      </c>
      <c r="B40" s="11">
        <v>35</v>
      </c>
      <c r="C40" s="11">
        <v>33.5</v>
      </c>
      <c r="D40" s="11">
        <v>35.9</v>
      </c>
      <c r="E40" s="11">
        <v>36.1</v>
      </c>
      <c r="F40" s="11">
        <v>36.200000000000003</v>
      </c>
      <c r="G40" s="11">
        <v>33.799999999999997</v>
      </c>
    </row>
    <row r="41" spans="1:7" x14ac:dyDescent="0.2">
      <c r="A41" s="8">
        <v>2015</v>
      </c>
      <c r="B41" s="9">
        <v>34.9</v>
      </c>
      <c r="C41" s="9">
        <v>35</v>
      </c>
      <c r="D41" s="9">
        <v>35.9</v>
      </c>
      <c r="E41" s="9">
        <v>35.799999999999997</v>
      </c>
      <c r="F41" s="9">
        <v>35.9</v>
      </c>
      <c r="G41" s="9">
        <v>33.9</v>
      </c>
    </row>
    <row r="42" spans="1:7" x14ac:dyDescent="0.2">
      <c r="A42" s="10">
        <v>2016</v>
      </c>
      <c r="B42" s="11">
        <v>34.200000000000003</v>
      </c>
      <c r="C42" s="11">
        <v>33.700000000000003</v>
      </c>
      <c r="D42" s="11">
        <v>35.299999999999997</v>
      </c>
      <c r="E42" s="11">
        <v>35.6</v>
      </c>
      <c r="F42" s="11">
        <v>35.9</v>
      </c>
      <c r="G42" s="11">
        <v>32.6</v>
      </c>
    </row>
    <row r="43" spans="1:7" x14ac:dyDescent="0.2">
      <c r="A43" s="8">
        <v>2017</v>
      </c>
      <c r="B43" s="9">
        <v>34.200000000000003</v>
      </c>
      <c r="C43" s="9">
        <v>34.700000000000003</v>
      </c>
      <c r="D43" s="9">
        <v>35.4</v>
      </c>
      <c r="E43" s="9">
        <v>35.799999999999997</v>
      </c>
      <c r="F43" s="9">
        <v>35.9</v>
      </c>
      <c r="G43" s="9">
        <v>32</v>
      </c>
    </row>
    <row r="44" spans="1:7" x14ac:dyDescent="0.2">
      <c r="A44" s="10">
        <v>2018</v>
      </c>
      <c r="B44" s="11">
        <v>34.200000000000003</v>
      </c>
      <c r="C44" s="11">
        <v>34.799999999999997</v>
      </c>
      <c r="D44" s="11">
        <v>35.5</v>
      </c>
      <c r="E44" s="11">
        <v>35.4</v>
      </c>
      <c r="F44" s="11">
        <v>35.700000000000003</v>
      </c>
      <c r="G44" s="11">
        <v>31.9</v>
      </c>
    </row>
    <row r="45" spans="1:7" x14ac:dyDescent="0.2">
      <c r="A45" s="8">
        <v>2019</v>
      </c>
      <c r="B45" s="9">
        <v>34.1</v>
      </c>
      <c r="C45" s="9">
        <v>35.1</v>
      </c>
      <c r="D45" s="9">
        <v>35.299999999999997</v>
      </c>
      <c r="E45" s="9">
        <v>35.299999999999997</v>
      </c>
      <c r="F45" s="9">
        <v>36.200000000000003</v>
      </c>
      <c r="G45" s="9">
        <v>31.9</v>
      </c>
    </row>
    <row r="46" spans="1:7" x14ac:dyDescent="0.2">
      <c r="A46" s="10">
        <v>2020</v>
      </c>
      <c r="B46" s="11">
        <v>31.3</v>
      </c>
      <c r="C46" s="11">
        <v>33.1</v>
      </c>
      <c r="D46" s="11">
        <v>32.799999999999997</v>
      </c>
      <c r="E46" s="11">
        <v>31.9</v>
      </c>
      <c r="F46" s="11">
        <v>34.799999999999997</v>
      </c>
      <c r="G46" s="11">
        <v>30.2</v>
      </c>
    </row>
    <row r="47" spans="1:7" x14ac:dyDescent="0.2">
      <c r="A47" s="8">
        <v>2021</v>
      </c>
      <c r="B47" s="9">
        <v>32.4</v>
      </c>
      <c r="C47" s="14">
        <v>34.5</v>
      </c>
      <c r="D47" s="9">
        <v>34</v>
      </c>
      <c r="E47" s="9">
        <v>33.4</v>
      </c>
      <c r="F47" s="14">
        <v>34.9</v>
      </c>
      <c r="G47" s="14">
        <v>30.7</v>
      </c>
    </row>
    <row r="50" spans="1:6" ht="13.15" customHeight="1" x14ac:dyDescent="0.2">
      <c r="A50" s="15" t="s">
        <v>0</v>
      </c>
    </row>
    <row r="51" spans="1:6" ht="13.15" customHeight="1" x14ac:dyDescent="0.2">
      <c r="A51" s="16" t="s">
        <v>11</v>
      </c>
    </row>
    <row r="52" spans="1:6" ht="13.15" customHeight="1" x14ac:dyDescent="0.2">
      <c r="A52" s="16" t="s">
        <v>12</v>
      </c>
    </row>
    <row r="53" spans="1:6" ht="13.15" customHeight="1" x14ac:dyDescent="0.2">
      <c r="A53" s="16" t="s">
        <v>13</v>
      </c>
    </row>
    <row r="57" spans="1:6" ht="15.75" x14ac:dyDescent="0.2">
      <c r="A57" s="17" t="s">
        <v>14</v>
      </c>
    </row>
    <row r="58" spans="1:6" x14ac:dyDescent="0.2">
      <c r="A58" s="18" t="s">
        <v>15</v>
      </c>
      <c r="B58" s="4" t="s">
        <v>16</v>
      </c>
      <c r="C58" s="18" t="s">
        <v>17</v>
      </c>
      <c r="D58" s="4" t="s">
        <v>18</v>
      </c>
      <c r="E58" s="18" t="s">
        <v>19</v>
      </c>
      <c r="F58" s="19" t="s">
        <v>20</v>
      </c>
    </row>
    <row r="59" spans="1:6" x14ac:dyDescent="0.2">
      <c r="A59" s="18" t="s">
        <v>21</v>
      </c>
      <c r="B59" s="4" t="s">
        <v>22</v>
      </c>
      <c r="C59" s="18" t="s">
        <v>23</v>
      </c>
      <c r="D59" s="4" t="s">
        <v>24</v>
      </c>
      <c r="E59" s="18" t="s">
        <v>25</v>
      </c>
      <c r="F59" s="19" t="s">
        <v>26</v>
      </c>
    </row>
    <row r="60" spans="1:6" x14ac:dyDescent="0.2">
      <c r="A60" s="18" t="s">
        <v>27</v>
      </c>
      <c r="B60" s="4" t="s">
        <v>28</v>
      </c>
      <c r="C60" s="18" t="s">
        <v>29</v>
      </c>
      <c r="D60" s="4" t="s">
        <v>30</v>
      </c>
      <c r="E60" s="18" t="s">
        <v>31</v>
      </c>
      <c r="F60" s="19" t="s">
        <v>32</v>
      </c>
    </row>
    <row r="61" spans="1:6" x14ac:dyDescent="0.2">
      <c r="A61" s="18" t="s">
        <v>33</v>
      </c>
      <c r="B61" s="4" t="s">
        <v>34</v>
      </c>
      <c r="C61" s="18" t="s">
        <v>35</v>
      </c>
      <c r="D61" s="4" t="s">
        <v>36</v>
      </c>
      <c r="E61" s="18" t="s">
        <v>37</v>
      </c>
      <c r="F61" s="19" t="s">
        <v>38</v>
      </c>
    </row>
    <row r="62" spans="1:6" x14ac:dyDescent="0.2">
      <c r="A62" s="18" t="s">
        <v>39</v>
      </c>
      <c r="B62" s="4" t="s">
        <v>40</v>
      </c>
      <c r="C62" s="18" t="s">
        <v>41</v>
      </c>
      <c r="D62" s="4" t="s">
        <v>42</v>
      </c>
      <c r="E62" s="18" t="s">
        <v>43</v>
      </c>
      <c r="F62" s="19" t="s">
        <v>44</v>
      </c>
    </row>
    <row r="66" spans="1:256" ht="1.1499999999999999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</row>
    <row r="67" spans="1:256" ht="12.75" customHeight="1" x14ac:dyDescent="0.2">
      <c r="A67" s="20" t="s">
        <v>45</v>
      </c>
    </row>
    <row r="69" spans="1:256" ht="12.75" customHeight="1" x14ac:dyDescent="0.2">
      <c r="A69" s="21" t="s">
        <v>46</v>
      </c>
      <c r="B69" s="21" t="s">
        <v>46</v>
      </c>
      <c r="C69" s="21" t="s">
        <v>46</v>
      </c>
      <c r="D69" s="21" t="s">
        <v>46</v>
      </c>
      <c r="E69" s="21" t="s">
        <v>46</v>
      </c>
      <c r="F69" s="21" t="s">
        <v>46</v>
      </c>
      <c r="G69" s="21" t="s">
        <v>46</v>
      </c>
      <c r="H69" s="21" t="s">
        <v>46</v>
      </c>
      <c r="I69" s="21" t="s">
        <v>46</v>
      </c>
      <c r="J69" s="21" t="s">
        <v>46</v>
      </c>
      <c r="K69" s="21" t="s">
        <v>46</v>
      </c>
      <c r="L69" s="21" t="s">
        <v>46</v>
      </c>
      <c r="M69" s="21" t="s">
        <v>46</v>
      </c>
      <c r="N69" s="21" t="s">
        <v>46</v>
      </c>
      <c r="O69" s="21" t="s">
        <v>46</v>
      </c>
      <c r="P69" s="21" t="s">
        <v>46</v>
      </c>
      <c r="Q69" s="21" t="s">
        <v>46</v>
      </c>
      <c r="R69" s="21" t="s">
        <v>46</v>
      </c>
      <c r="S69" s="21" t="s">
        <v>46</v>
      </c>
      <c r="T69" s="21" t="s">
        <v>46</v>
      </c>
      <c r="U69" s="21" t="s">
        <v>46</v>
      </c>
      <c r="V69" s="21" t="s">
        <v>46</v>
      </c>
      <c r="W69" s="21" t="s">
        <v>46</v>
      </c>
      <c r="X69" s="21" t="s">
        <v>46</v>
      </c>
      <c r="Y69" s="21" t="s">
        <v>46</v>
      </c>
      <c r="Z69" s="21" t="s">
        <v>46</v>
      </c>
      <c r="AA69" s="21" t="s">
        <v>46</v>
      </c>
      <c r="AB69" s="21" t="s">
        <v>46</v>
      </c>
      <c r="AC69" s="21" t="s">
        <v>46</v>
      </c>
      <c r="AD69" s="21" t="s">
        <v>46</v>
      </c>
      <c r="AE69" s="21" t="s">
        <v>46</v>
      </c>
      <c r="AF69" s="21" t="s">
        <v>46</v>
      </c>
      <c r="AG69" s="21" t="s">
        <v>46</v>
      </c>
      <c r="AH69" s="21" t="s">
        <v>46</v>
      </c>
      <c r="AI69" s="21" t="s">
        <v>46</v>
      </c>
      <c r="AJ69" s="21" t="s">
        <v>46</v>
      </c>
      <c r="AK69" s="21" t="s">
        <v>46</v>
      </c>
      <c r="AL69" s="21" t="s">
        <v>46</v>
      </c>
      <c r="AM69" s="21" t="s">
        <v>46</v>
      </c>
      <c r="AN69" s="21" t="s">
        <v>46</v>
      </c>
      <c r="AO69" s="21" t="s">
        <v>46</v>
      </c>
      <c r="AP69" s="21" t="s">
        <v>46</v>
      </c>
      <c r="AQ69" s="21" t="s">
        <v>46</v>
      </c>
      <c r="AR69" s="21" t="s">
        <v>46</v>
      </c>
      <c r="AS69" s="21" t="s">
        <v>46</v>
      </c>
      <c r="AT69" s="21" t="s">
        <v>46</v>
      </c>
      <c r="AU69" s="21" t="s">
        <v>46</v>
      </c>
      <c r="AV69" s="21" t="s">
        <v>46</v>
      </c>
      <c r="AW69" s="21" t="s">
        <v>46</v>
      </c>
      <c r="AX69" s="21" t="s">
        <v>46</v>
      </c>
      <c r="AY69" s="21" t="s">
        <v>46</v>
      </c>
      <c r="AZ69" s="21" t="s">
        <v>46</v>
      </c>
      <c r="BA69" s="21" t="s">
        <v>46</v>
      </c>
      <c r="BB69" s="21" t="s">
        <v>46</v>
      </c>
      <c r="BC69" s="21" t="s">
        <v>46</v>
      </c>
      <c r="BD69" s="21" t="s">
        <v>46</v>
      </c>
      <c r="BE69" s="21" t="s">
        <v>46</v>
      </c>
      <c r="BF69" s="21" t="s">
        <v>46</v>
      </c>
      <c r="BG69" s="21" t="s">
        <v>46</v>
      </c>
      <c r="BH69" s="21" t="s">
        <v>46</v>
      </c>
      <c r="BI69" s="21" t="s">
        <v>46</v>
      </c>
      <c r="BJ69" s="21" t="s">
        <v>46</v>
      </c>
      <c r="BK69" s="21" t="s">
        <v>46</v>
      </c>
      <c r="BL69" s="21" t="s">
        <v>46</v>
      </c>
      <c r="BM69" s="21" t="s">
        <v>46</v>
      </c>
      <c r="BN69" s="21" t="s">
        <v>46</v>
      </c>
      <c r="BO69" s="21" t="s">
        <v>46</v>
      </c>
      <c r="BP69" s="21" t="s">
        <v>46</v>
      </c>
      <c r="BQ69" s="21" t="s">
        <v>46</v>
      </c>
      <c r="BR69" s="21" t="s">
        <v>46</v>
      </c>
      <c r="BS69" s="21" t="s">
        <v>46</v>
      </c>
      <c r="BT69" s="21" t="s">
        <v>46</v>
      </c>
      <c r="BU69" s="21" t="s">
        <v>46</v>
      </c>
      <c r="BV69" s="21" t="s">
        <v>46</v>
      </c>
      <c r="BW69" s="21" t="s">
        <v>46</v>
      </c>
      <c r="BX69" s="21" t="s">
        <v>46</v>
      </c>
      <c r="BY69" s="21" t="s">
        <v>46</v>
      </c>
      <c r="BZ69" s="21" t="s">
        <v>46</v>
      </c>
      <c r="CA69" s="21" t="s">
        <v>46</v>
      </c>
      <c r="CB69" s="21" t="s">
        <v>46</v>
      </c>
      <c r="CC69" s="21" t="s">
        <v>46</v>
      </c>
      <c r="CD69" s="21" t="s">
        <v>46</v>
      </c>
      <c r="CE69" s="21" t="s">
        <v>46</v>
      </c>
      <c r="CF69" s="21" t="s">
        <v>46</v>
      </c>
      <c r="CG69" s="21" t="s">
        <v>46</v>
      </c>
      <c r="CH69" s="21" t="s">
        <v>46</v>
      </c>
      <c r="CI69" s="21" t="s">
        <v>46</v>
      </c>
      <c r="CJ69" s="21" t="s">
        <v>46</v>
      </c>
      <c r="CK69" s="21" t="s">
        <v>46</v>
      </c>
      <c r="CL69" s="21" t="s">
        <v>46</v>
      </c>
      <c r="CM69" s="21" t="s">
        <v>46</v>
      </c>
      <c r="CN69" s="21" t="s">
        <v>46</v>
      </c>
      <c r="CO69" s="21" t="s">
        <v>46</v>
      </c>
      <c r="CP69" s="21" t="s">
        <v>46</v>
      </c>
      <c r="CQ69" s="21" t="s">
        <v>46</v>
      </c>
      <c r="CR69" s="21" t="s">
        <v>46</v>
      </c>
      <c r="CS69" s="21" t="s">
        <v>46</v>
      </c>
      <c r="CT69" s="21" t="s">
        <v>46</v>
      </c>
      <c r="CU69" s="21" t="s">
        <v>46</v>
      </c>
      <c r="CV69" s="21" t="s">
        <v>46</v>
      </c>
      <c r="CW69" s="21" t="s">
        <v>46</v>
      </c>
      <c r="CX69" s="21" t="s">
        <v>46</v>
      </c>
      <c r="CY69" s="21" t="s">
        <v>46</v>
      </c>
      <c r="CZ69" s="21" t="s">
        <v>46</v>
      </c>
      <c r="DA69" s="21" t="s">
        <v>46</v>
      </c>
      <c r="DB69" s="21" t="s">
        <v>46</v>
      </c>
      <c r="DC69" s="21" t="s">
        <v>46</v>
      </c>
      <c r="DD69" s="21" t="s">
        <v>46</v>
      </c>
      <c r="DE69" s="21" t="s">
        <v>46</v>
      </c>
      <c r="DF69" s="21" t="s">
        <v>46</v>
      </c>
      <c r="DG69" s="21" t="s">
        <v>46</v>
      </c>
      <c r="DH69" s="21" t="s">
        <v>46</v>
      </c>
      <c r="DI69" s="21" t="s">
        <v>46</v>
      </c>
      <c r="DJ69" s="21" t="s">
        <v>46</v>
      </c>
      <c r="DK69" s="21" t="s">
        <v>46</v>
      </c>
      <c r="DL69" s="21" t="s">
        <v>46</v>
      </c>
      <c r="DM69" s="21" t="s">
        <v>46</v>
      </c>
      <c r="DN69" s="21" t="s">
        <v>46</v>
      </c>
      <c r="DO69" s="21" t="s">
        <v>46</v>
      </c>
      <c r="DP69" s="21" t="s">
        <v>46</v>
      </c>
      <c r="DQ69" s="21" t="s">
        <v>46</v>
      </c>
      <c r="DR69" s="21" t="s">
        <v>46</v>
      </c>
      <c r="DS69" s="21" t="s">
        <v>46</v>
      </c>
      <c r="DT69" s="21" t="s">
        <v>46</v>
      </c>
      <c r="DU69" s="21" t="s">
        <v>46</v>
      </c>
      <c r="DV69" s="21" t="s">
        <v>46</v>
      </c>
      <c r="DW69" s="21" t="s">
        <v>46</v>
      </c>
      <c r="DX69" s="21" t="s">
        <v>46</v>
      </c>
      <c r="DY69" s="21" t="s">
        <v>46</v>
      </c>
      <c r="DZ69" s="21" t="s">
        <v>46</v>
      </c>
      <c r="EA69" s="21" t="s">
        <v>46</v>
      </c>
      <c r="EB69" s="21" t="s">
        <v>46</v>
      </c>
      <c r="EC69" s="21" t="s">
        <v>46</v>
      </c>
      <c r="ED69" s="21" t="s">
        <v>46</v>
      </c>
      <c r="EE69" s="21" t="s">
        <v>46</v>
      </c>
      <c r="EF69" s="21" t="s">
        <v>46</v>
      </c>
      <c r="EG69" s="21" t="s">
        <v>46</v>
      </c>
      <c r="EH69" s="21" t="s">
        <v>46</v>
      </c>
      <c r="EI69" s="21" t="s">
        <v>46</v>
      </c>
      <c r="EJ69" s="21" t="s">
        <v>46</v>
      </c>
      <c r="EK69" s="21" t="s">
        <v>46</v>
      </c>
      <c r="EL69" s="21" t="s">
        <v>46</v>
      </c>
      <c r="EM69" s="21" t="s">
        <v>46</v>
      </c>
      <c r="EN69" s="21" t="s">
        <v>46</v>
      </c>
      <c r="EO69" s="21" t="s">
        <v>46</v>
      </c>
      <c r="EP69" s="21" t="s">
        <v>46</v>
      </c>
      <c r="EQ69" s="21" t="s">
        <v>46</v>
      </c>
      <c r="ER69" s="21" t="s">
        <v>46</v>
      </c>
      <c r="ES69" s="21" t="s">
        <v>46</v>
      </c>
      <c r="ET69" s="21" t="s">
        <v>46</v>
      </c>
      <c r="EU69" s="21" t="s">
        <v>46</v>
      </c>
      <c r="EV69" s="21" t="s">
        <v>46</v>
      </c>
      <c r="EW69" s="21" t="s">
        <v>46</v>
      </c>
      <c r="EX69" s="21" t="s">
        <v>46</v>
      </c>
      <c r="EY69" s="21" t="s">
        <v>46</v>
      </c>
      <c r="EZ69" s="21" t="s">
        <v>46</v>
      </c>
      <c r="FA69" s="21" t="s">
        <v>46</v>
      </c>
      <c r="FB69" s="21" t="s">
        <v>46</v>
      </c>
      <c r="FC69" s="21" t="s">
        <v>46</v>
      </c>
      <c r="FD69" s="21" t="s">
        <v>46</v>
      </c>
      <c r="FE69" s="21" t="s">
        <v>46</v>
      </c>
      <c r="FF69" s="21" t="s">
        <v>46</v>
      </c>
      <c r="FG69" s="21" t="s">
        <v>46</v>
      </c>
      <c r="FH69" s="21" t="s">
        <v>46</v>
      </c>
      <c r="FI69" s="21" t="s">
        <v>46</v>
      </c>
      <c r="FJ69" s="21" t="s">
        <v>46</v>
      </c>
      <c r="FK69" s="21" t="s">
        <v>46</v>
      </c>
      <c r="FL69" s="21" t="s">
        <v>46</v>
      </c>
      <c r="FM69" s="21" t="s">
        <v>46</v>
      </c>
      <c r="FN69" s="21" t="s">
        <v>46</v>
      </c>
      <c r="FO69" s="21" t="s">
        <v>46</v>
      </c>
      <c r="FP69" s="21" t="s">
        <v>46</v>
      </c>
      <c r="FQ69" s="21" t="s">
        <v>46</v>
      </c>
      <c r="FR69" s="21" t="s">
        <v>46</v>
      </c>
      <c r="FS69" s="21" t="s">
        <v>46</v>
      </c>
      <c r="FT69" s="21" t="s">
        <v>46</v>
      </c>
      <c r="FU69" s="21" t="s">
        <v>46</v>
      </c>
      <c r="FV69" s="21" t="s">
        <v>46</v>
      </c>
      <c r="FW69" s="21" t="s">
        <v>46</v>
      </c>
      <c r="FX69" s="21" t="s">
        <v>46</v>
      </c>
      <c r="FY69" s="21" t="s">
        <v>46</v>
      </c>
      <c r="FZ69" s="21" t="s">
        <v>46</v>
      </c>
      <c r="GA69" s="21" t="s">
        <v>46</v>
      </c>
      <c r="GB69" s="21" t="s">
        <v>46</v>
      </c>
      <c r="GC69" s="21" t="s">
        <v>46</v>
      </c>
      <c r="GD69" s="21" t="s">
        <v>46</v>
      </c>
      <c r="GE69" s="21" t="s">
        <v>46</v>
      </c>
      <c r="GF69" s="21" t="s">
        <v>46</v>
      </c>
      <c r="GG69" s="21" t="s">
        <v>46</v>
      </c>
      <c r="GH69" s="21" t="s">
        <v>46</v>
      </c>
      <c r="GI69" s="21" t="s">
        <v>46</v>
      </c>
      <c r="GJ69" s="21" t="s">
        <v>46</v>
      </c>
      <c r="GK69" s="21" t="s">
        <v>46</v>
      </c>
      <c r="GL69" s="21" t="s">
        <v>46</v>
      </c>
      <c r="GM69" s="21" t="s">
        <v>46</v>
      </c>
      <c r="GN69" s="21" t="s">
        <v>46</v>
      </c>
      <c r="GO69" s="21" t="s">
        <v>46</v>
      </c>
      <c r="GP69" s="21" t="s">
        <v>46</v>
      </c>
      <c r="GQ69" s="21" t="s">
        <v>46</v>
      </c>
      <c r="GR69" s="21" t="s">
        <v>46</v>
      </c>
      <c r="GS69" s="21" t="s">
        <v>46</v>
      </c>
      <c r="GT69" s="21" t="s">
        <v>46</v>
      </c>
      <c r="GU69" s="21" t="s">
        <v>46</v>
      </c>
      <c r="GV69" s="21" t="s">
        <v>46</v>
      </c>
      <c r="GW69" s="21" t="s">
        <v>46</v>
      </c>
      <c r="GX69" s="21" t="s">
        <v>46</v>
      </c>
      <c r="GY69" s="21" t="s">
        <v>46</v>
      </c>
      <c r="GZ69" s="21" t="s">
        <v>46</v>
      </c>
      <c r="HA69" s="21" t="s">
        <v>46</v>
      </c>
      <c r="HB69" s="21" t="s">
        <v>46</v>
      </c>
      <c r="HC69" s="21" t="s">
        <v>46</v>
      </c>
      <c r="HD69" s="21" t="s">
        <v>46</v>
      </c>
      <c r="HE69" s="21" t="s">
        <v>46</v>
      </c>
      <c r="HF69" s="21" t="s">
        <v>46</v>
      </c>
      <c r="HG69" s="21" t="s">
        <v>46</v>
      </c>
      <c r="HH69" s="21" t="s">
        <v>46</v>
      </c>
      <c r="HI69" s="21" t="s">
        <v>46</v>
      </c>
      <c r="HJ69" s="21" t="s">
        <v>46</v>
      </c>
      <c r="HK69" s="21" t="s">
        <v>46</v>
      </c>
      <c r="HL69" s="21" t="s">
        <v>46</v>
      </c>
      <c r="HM69" s="21" t="s">
        <v>46</v>
      </c>
      <c r="HN69" s="21" t="s">
        <v>46</v>
      </c>
      <c r="HO69" s="21" t="s">
        <v>46</v>
      </c>
      <c r="HP69" s="21" t="s">
        <v>46</v>
      </c>
      <c r="HQ69" s="21" t="s">
        <v>46</v>
      </c>
      <c r="HR69" s="21" t="s">
        <v>46</v>
      </c>
      <c r="HS69" s="21" t="s">
        <v>46</v>
      </c>
      <c r="HT69" s="21" t="s">
        <v>46</v>
      </c>
      <c r="HU69" s="21" t="s">
        <v>46</v>
      </c>
      <c r="HV69" s="21" t="s">
        <v>46</v>
      </c>
      <c r="HW69" s="21" t="s">
        <v>46</v>
      </c>
      <c r="HX69" s="21" t="s">
        <v>46</v>
      </c>
      <c r="HY69" s="21" t="s">
        <v>46</v>
      </c>
      <c r="HZ69" s="21" t="s">
        <v>46</v>
      </c>
      <c r="IA69" s="21" t="s">
        <v>46</v>
      </c>
      <c r="IB69" s="21" t="s">
        <v>46</v>
      </c>
      <c r="IC69" s="21" t="s">
        <v>46</v>
      </c>
      <c r="ID69" s="21" t="s">
        <v>46</v>
      </c>
      <c r="IE69" s="21" t="s">
        <v>46</v>
      </c>
      <c r="IF69" s="21" t="s">
        <v>46</v>
      </c>
      <c r="IG69" s="21" t="s">
        <v>46</v>
      </c>
      <c r="IH69" s="21" t="s">
        <v>46</v>
      </c>
      <c r="II69" s="21" t="s">
        <v>46</v>
      </c>
      <c r="IJ69" s="21" t="s">
        <v>46</v>
      </c>
      <c r="IK69" s="21" t="s">
        <v>46</v>
      </c>
      <c r="IL69" s="21" t="s">
        <v>46</v>
      </c>
      <c r="IM69" s="21" t="s">
        <v>46</v>
      </c>
      <c r="IN69" s="21" t="s">
        <v>46</v>
      </c>
      <c r="IO69" s="21" t="s">
        <v>46</v>
      </c>
      <c r="IP69" s="21" t="s">
        <v>46</v>
      </c>
      <c r="IQ69" s="21" t="s">
        <v>46</v>
      </c>
      <c r="IR69" s="21" t="s">
        <v>46</v>
      </c>
      <c r="IS69" s="21" t="s">
        <v>46</v>
      </c>
      <c r="IT69" s="21" t="s">
        <v>46</v>
      </c>
      <c r="IU69" s="21" t="s">
        <v>46</v>
      </c>
      <c r="IV69" s="21" t="s">
        <v>46</v>
      </c>
    </row>
  </sheetData>
  <mergeCells count="6">
    <mergeCell ref="A3:XFD3"/>
    <mergeCell ref="B4:G4"/>
    <mergeCell ref="B5:G5"/>
    <mergeCell ref="A7:A8"/>
    <mergeCell ref="B6:G6"/>
    <mergeCell ref="B7:G7"/>
  </mergeCells>
  <pageMargins left="0.7" right="0.7" top="0.75" bottom="0.75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showGridLines="0" workbookViewId="0"/>
  </sheetViews>
  <sheetFormatPr defaultRowHeight="12.75" x14ac:dyDescent="0.2"/>
  <cols>
    <col min="1" max="1" width="30.7109375" customWidth="1"/>
    <col min="2" max="8" width="20.7109375" customWidth="1"/>
  </cols>
  <sheetData>
    <row r="1" spans="1:8" ht="40.15" customHeight="1" x14ac:dyDescent="0.2">
      <c r="H1" s="5"/>
    </row>
    <row r="2" spans="1:8" ht="7.15" customHeight="1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40"/>
      <c r="B3" s="40"/>
      <c r="C3" s="40"/>
      <c r="D3" s="40"/>
      <c r="E3" s="40"/>
      <c r="F3" s="40"/>
      <c r="G3" s="40"/>
      <c r="H3" s="40"/>
    </row>
    <row r="4" spans="1:8" ht="40.15" customHeight="1" x14ac:dyDescent="0.2">
      <c r="A4" s="51" t="s">
        <v>0</v>
      </c>
      <c r="B4" s="51"/>
      <c r="C4" s="51"/>
      <c r="D4" s="51"/>
      <c r="E4" s="51"/>
      <c r="F4" s="51"/>
      <c r="G4" s="51"/>
      <c r="H4" s="51"/>
    </row>
    <row r="6" spans="1:8" ht="14.65" customHeight="1" x14ac:dyDescent="0.2">
      <c r="A6" s="22" t="s">
        <v>47</v>
      </c>
      <c r="B6" s="50" t="s">
        <v>48</v>
      </c>
      <c r="C6" s="50"/>
      <c r="D6" s="50"/>
      <c r="E6" s="50"/>
      <c r="F6" s="50"/>
      <c r="G6" s="50"/>
      <c r="H6" s="50"/>
    </row>
    <row r="7" spans="1:8" x14ac:dyDescent="0.2">
      <c r="A7" s="22" t="s">
        <v>49</v>
      </c>
      <c r="B7" s="50" t="s">
        <v>50</v>
      </c>
      <c r="C7" s="50"/>
      <c r="D7" s="50"/>
      <c r="E7" s="50"/>
      <c r="F7" s="50"/>
      <c r="G7" s="50"/>
      <c r="H7" s="50"/>
    </row>
    <row r="8" spans="1:8" x14ac:dyDescent="0.2">
      <c r="A8" s="22" t="s">
        <v>51</v>
      </c>
      <c r="B8" s="50" t="s">
        <v>52</v>
      </c>
      <c r="C8" s="50"/>
      <c r="D8" s="50"/>
      <c r="E8" s="50"/>
      <c r="F8" s="50"/>
      <c r="G8" s="50"/>
      <c r="H8" s="50"/>
    </row>
    <row r="9" spans="1:8" ht="25.5" x14ac:dyDescent="0.2">
      <c r="A9" s="22" t="s">
        <v>53</v>
      </c>
      <c r="B9" s="50" t="s">
        <v>54</v>
      </c>
      <c r="C9" s="50"/>
      <c r="D9" s="50"/>
      <c r="E9" s="50"/>
      <c r="F9" s="50"/>
      <c r="G9" s="50"/>
      <c r="H9" s="50"/>
    </row>
    <row r="10" spans="1:8" x14ac:dyDescent="0.2">
      <c r="A10" s="22" t="s">
        <v>55</v>
      </c>
      <c r="B10" s="50" t="s">
        <v>56</v>
      </c>
      <c r="C10" s="50"/>
      <c r="D10" s="50"/>
      <c r="E10" s="50"/>
      <c r="F10" s="50"/>
      <c r="G10" s="50"/>
      <c r="H10" s="50"/>
    </row>
    <row r="11" spans="1:8" x14ac:dyDescent="0.2">
      <c r="A11" s="22" t="s">
        <v>57</v>
      </c>
      <c r="B11" s="50" t="s">
        <v>58</v>
      </c>
      <c r="C11" s="50"/>
      <c r="D11" s="50"/>
      <c r="E11" s="50"/>
      <c r="F11" s="50"/>
      <c r="G11" s="50"/>
      <c r="H11" s="50"/>
    </row>
    <row r="12" spans="1:8" ht="55.15" customHeight="1" x14ac:dyDescent="0.2">
      <c r="A12" s="22" t="s">
        <v>59</v>
      </c>
      <c r="B12" s="50" t="s">
        <v>60</v>
      </c>
      <c r="C12" s="50"/>
      <c r="D12" s="50"/>
      <c r="E12" s="50"/>
      <c r="F12" s="50"/>
      <c r="G12" s="50"/>
      <c r="H12" s="50"/>
    </row>
    <row r="14" spans="1:8" ht="15.75" x14ac:dyDescent="0.2">
      <c r="A14" s="48" t="s">
        <v>61</v>
      </c>
      <c r="B14" s="48"/>
      <c r="C14" s="48"/>
      <c r="D14" s="48"/>
      <c r="E14" s="48"/>
      <c r="F14" s="48"/>
      <c r="G14" s="48"/>
      <c r="H14" s="48"/>
    </row>
    <row r="16" spans="1:8" ht="19.899999999999999" customHeight="1" x14ac:dyDescent="0.2">
      <c r="A16" s="3" t="s">
        <v>62</v>
      </c>
      <c r="B16" s="49" t="s">
        <v>63</v>
      </c>
      <c r="C16" s="49"/>
      <c r="D16" s="49"/>
      <c r="E16" s="49" t="s">
        <v>64</v>
      </c>
      <c r="F16" s="49"/>
      <c r="G16" s="49"/>
      <c r="H16" s="49"/>
    </row>
    <row r="17" spans="1:8" ht="31.15" customHeight="1" x14ac:dyDescent="0.2">
      <c r="A17" s="2" t="s">
        <v>65</v>
      </c>
      <c r="B17" s="47"/>
      <c r="C17" s="47"/>
      <c r="D17" s="47"/>
      <c r="E17" s="47" t="s">
        <v>66</v>
      </c>
      <c r="F17" s="47"/>
      <c r="G17" s="47"/>
      <c r="H17" s="47"/>
    </row>
    <row r="18" spans="1:8" ht="61.9" customHeight="1" x14ac:dyDescent="0.2">
      <c r="A18" s="1" t="s">
        <v>67</v>
      </c>
      <c r="B18" s="46"/>
      <c r="C18" s="46"/>
      <c r="D18" s="46"/>
      <c r="E18" s="46" t="s">
        <v>68</v>
      </c>
      <c r="F18" s="46"/>
      <c r="G18" s="46"/>
      <c r="H18" s="46"/>
    </row>
    <row r="19" spans="1:8" ht="145.9" customHeight="1" x14ac:dyDescent="0.2">
      <c r="A19" s="2" t="s">
        <v>69</v>
      </c>
      <c r="B19" s="47" t="s">
        <v>70</v>
      </c>
      <c r="C19" s="47"/>
      <c r="D19" s="47"/>
      <c r="E19" s="47" t="s">
        <v>71</v>
      </c>
      <c r="F19" s="47"/>
      <c r="G19" s="47"/>
      <c r="H19" s="47"/>
    </row>
    <row r="21" spans="1:8" ht="15.75" x14ac:dyDescent="0.2">
      <c r="A21" s="48" t="s">
        <v>72</v>
      </c>
      <c r="B21" s="48"/>
      <c r="C21" s="48"/>
      <c r="D21" s="48"/>
      <c r="E21" s="48"/>
      <c r="F21" s="48"/>
      <c r="G21" s="48"/>
      <c r="H21" s="48"/>
    </row>
    <row r="23" spans="1:8" ht="19.899999999999999" customHeight="1" x14ac:dyDescent="0.2">
      <c r="A23" s="3" t="s">
        <v>73</v>
      </c>
      <c r="B23" s="3" t="s">
        <v>74</v>
      </c>
      <c r="C23" s="3" t="s">
        <v>75</v>
      </c>
      <c r="D23" s="3" t="s">
        <v>76</v>
      </c>
      <c r="E23" s="49" t="s">
        <v>77</v>
      </c>
      <c r="F23" s="49"/>
      <c r="G23" s="49"/>
      <c r="H23" s="49"/>
    </row>
    <row r="24" spans="1:8" ht="387.4" customHeight="1" x14ac:dyDescent="0.2">
      <c r="A24" s="2" t="s">
        <v>4</v>
      </c>
      <c r="B24" s="2" t="s">
        <v>78</v>
      </c>
      <c r="C24" s="2" t="s">
        <v>79</v>
      </c>
      <c r="D24" s="2" t="s">
        <v>80</v>
      </c>
      <c r="E24" s="47" t="s">
        <v>81</v>
      </c>
      <c r="F24" s="47"/>
      <c r="G24" s="47"/>
      <c r="H24" s="47"/>
    </row>
    <row r="27" spans="1:8" ht="15.75" x14ac:dyDescent="0.2">
      <c r="A27" s="48" t="s">
        <v>82</v>
      </c>
      <c r="B27" s="48"/>
      <c r="C27" s="48"/>
      <c r="D27" s="48"/>
      <c r="E27" s="48"/>
      <c r="F27" s="48"/>
      <c r="G27" s="48"/>
      <c r="H27" s="48"/>
    </row>
    <row r="29" spans="1:8" ht="19.899999999999999" customHeight="1" x14ac:dyDescent="0.2">
      <c r="A29" s="23" t="s">
        <v>83</v>
      </c>
      <c r="B29" s="49" t="s">
        <v>77</v>
      </c>
      <c r="C29" s="49"/>
      <c r="D29" s="49"/>
      <c r="E29" s="49"/>
      <c r="F29" s="49"/>
      <c r="G29" s="49"/>
      <c r="H29" s="23" t="s">
        <v>16</v>
      </c>
    </row>
    <row r="30" spans="1:8" ht="24.4" customHeight="1" x14ac:dyDescent="0.2">
      <c r="A30" s="24">
        <v>1983</v>
      </c>
      <c r="B30" s="47" t="s">
        <v>84</v>
      </c>
      <c r="C30" s="47"/>
      <c r="D30" s="47"/>
      <c r="E30" s="47"/>
      <c r="F30" s="47"/>
      <c r="G30" s="47"/>
      <c r="H30" s="24" t="s">
        <v>85</v>
      </c>
    </row>
    <row r="31" spans="1:8" ht="24.4" customHeight="1" x14ac:dyDescent="0.2">
      <c r="A31" s="25">
        <v>1985</v>
      </c>
      <c r="B31" s="46" t="s">
        <v>84</v>
      </c>
      <c r="C31" s="46"/>
      <c r="D31" s="46"/>
      <c r="E31" s="46"/>
      <c r="F31" s="46"/>
      <c r="G31" s="46"/>
      <c r="H31" s="25" t="s">
        <v>85</v>
      </c>
    </row>
    <row r="32" spans="1:8" ht="93.6" customHeight="1" x14ac:dyDescent="0.2">
      <c r="A32" s="24">
        <v>1992</v>
      </c>
      <c r="B32" s="47" t="s">
        <v>86</v>
      </c>
      <c r="C32" s="47"/>
      <c r="D32" s="47"/>
      <c r="E32" s="47"/>
      <c r="F32" s="47"/>
      <c r="G32" s="47"/>
      <c r="H32" s="24" t="s">
        <v>87</v>
      </c>
    </row>
    <row r="33" spans="1:8" ht="62.25" customHeight="1" x14ac:dyDescent="0.2">
      <c r="A33" s="25">
        <v>1998</v>
      </c>
      <c r="B33" s="46" t="s">
        <v>88</v>
      </c>
      <c r="C33" s="46"/>
      <c r="D33" s="46"/>
      <c r="E33" s="46"/>
      <c r="F33" s="46"/>
      <c r="G33" s="46"/>
      <c r="H33" s="25" t="s">
        <v>87</v>
      </c>
    </row>
    <row r="34" spans="1:8" ht="31.15" customHeight="1" x14ac:dyDescent="0.2">
      <c r="A34" s="24">
        <v>2008</v>
      </c>
      <c r="B34" s="47" t="s">
        <v>89</v>
      </c>
      <c r="C34" s="47"/>
      <c r="D34" s="47"/>
      <c r="E34" s="47"/>
      <c r="F34" s="47"/>
      <c r="G34" s="47"/>
      <c r="H34" s="24" t="s">
        <v>87</v>
      </c>
    </row>
    <row r="35" spans="1:8" ht="68.650000000000006" customHeight="1" x14ac:dyDescent="0.2">
      <c r="A35" s="25">
        <v>2011</v>
      </c>
      <c r="B35" s="46" t="s">
        <v>90</v>
      </c>
      <c r="C35" s="46"/>
      <c r="D35" s="46"/>
      <c r="E35" s="46"/>
      <c r="F35" s="46"/>
      <c r="G35" s="46"/>
      <c r="H35" s="25" t="s">
        <v>87</v>
      </c>
    </row>
    <row r="39" spans="1:8" x14ac:dyDescent="0.2">
      <c r="A39" s="26" t="s">
        <v>91</v>
      </c>
    </row>
    <row r="40" spans="1:8" x14ac:dyDescent="0.2">
      <c r="A40" s="4"/>
      <c r="B40" s="4"/>
      <c r="C40" s="4"/>
      <c r="D40" s="4"/>
      <c r="E40" s="4"/>
      <c r="F40" s="4"/>
      <c r="G40" s="4"/>
      <c r="H40" s="4"/>
    </row>
    <row r="42" spans="1:8" ht="1.1499999999999999" customHeight="1" x14ac:dyDescent="0.2">
      <c r="A42" s="6"/>
      <c r="B42" s="6"/>
      <c r="C42" s="6"/>
      <c r="D42" s="6"/>
      <c r="E42" s="6"/>
      <c r="F42" s="6"/>
      <c r="G42" s="6"/>
      <c r="H42" s="6"/>
    </row>
    <row r="43" spans="1:8" ht="12.75" customHeight="1" x14ac:dyDescent="0.2">
      <c r="A43" s="20" t="s">
        <v>45</v>
      </c>
    </row>
  </sheetData>
  <mergeCells count="29">
    <mergeCell ref="A3:H3"/>
    <mergeCell ref="A4:H4"/>
    <mergeCell ref="B6:H6"/>
    <mergeCell ref="B7:H7"/>
    <mergeCell ref="B8:H8"/>
    <mergeCell ref="E18:H18"/>
    <mergeCell ref="B9:H9"/>
    <mergeCell ref="B10:H10"/>
    <mergeCell ref="B11:H11"/>
    <mergeCell ref="B12:H12"/>
    <mergeCell ref="A14:H14"/>
    <mergeCell ref="B16:D16"/>
    <mergeCell ref="E16:H16"/>
    <mergeCell ref="B17:D17"/>
    <mergeCell ref="E17:H17"/>
    <mergeCell ref="B18:D18"/>
    <mergeCell ref="B19:D19"/>
    <mergeCell ref="E19:H19"/>
    <mergeCell ref="A21:H21"/>
    <mergeCell ref="E23:H23"/>
    <mergeCell ref="E24:H24"/>
    <mergeCell ref="B33:G33"/>
    <mergeCell ref="B34:G34"/>
    <mergeCell ref="B35:G35"/>
    <mergeCell ref="A27:H27"/>
    <mergeCell ref="B29:G29"/>
    <mergeCell ref="B30:G30"/>
    <mergeCell ref="B31:G31"/>
    <mergeCell ref="B32:G32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Quadro</vt:lpstr>
      <vt:lpstr>Metainformação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João Silva</cp:lastModifiedBy>
  <dcterms:created xsi:type="dcterms:W3CDTF">2022-06-17T04:02:50Z</dcterms:created>
  <dcterms:modified xsi:type="dcterms:W3CDTF">2022-06-19T23:35:08Z</dcterms:modified>
</cp:coreProperties>
</file>